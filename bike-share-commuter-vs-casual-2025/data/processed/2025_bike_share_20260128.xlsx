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3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4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worksheets/sheet5.xml" ContentType="application/vnd.openxmlformats-officedocument.spreadsheetml.work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hebu\OneDrive\Documents\Google Data Analytics\Course 8 Google Data Analytics Capstone Complete Case Study\Track A Case Study 1\"/>
    </mc:Choice>
  </mc:AlternateContent>
  <xr:revisionPtr revIDLastSave="0" documentId="13_ncr:1_{E136B852-20D0-48C7-B905-135B90850B37}" xr6:coauthVersionLast="47" xr6:coauthVersionMax="47" xr10:uidLastSave="{00000000-0000-0000-0000-000000000000}"/>
  <bookViews>
    <workbookView xWindow="-96" yWindow="0" windowWidth="15552" windowHeight="16656" firstSheet="6" activeTab="9" xr2:uid="{EE567AEF-1B00-4F12-BF2B-1C9DFD3B1173}"/>
  </bookViews>
  <sheets>
    <sheet name="RideType_Data" sheetId="10" r:id="rId1"/>
    <sheet name="RT_Ch1" sheetId="22" r:id="rId2"/>
    <sheet name="RT_Ch2" sheetId="23" r:id="rId3"/>
    <sheet name="Hourly_Data" sheetId="13" r:id="rId4"/>
    <sheet name="Hr_Ch1" sheetId="20" r:id="rId5"/>
    <sheet name="Hr_Ch2" sheetId="21" r:id="rId6"/>
    <sheet name="TimeBuckets_Data" sheetId="18" r:id="rId7"/>
    <sheet name="TB_Ch1" sheetId="24" r:id="rId8"/>
    <sheet name="TB_Ch2" sheetId="25" r:id="rId9"/>
    <sheet name="DayOfWeek_Data" sheetId="8" r:id="rId10"/>
    <sheet name="DOW_Ch1" sheetId="26" r:id="rId11"/>
    <sheet name="DOW_Ch2" sheetId="27" r:id="rId12"/>
    <sheet name="Monthly_Data" sheetId="19" r:id="rId13"/>
    <sheet name="M_Ch1" sheetId="28" r:id="rId14"/>
    <sheet name="M_Ch2" sheetId="29" r:id="rId1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13" l="1"/>
  <c r="C22" i="18"/>
  <c r="B22" i="18"/>
  <c r="C43" i="19" l="1"/>
  <c r="B43" i="19"/>
  <c r="C42" i="19"/>
  <c r="B42" i="19"/>
  <c r="C41" i="19"/>
  <c r="B41" i="19"/>
  <c r="C40" i="19"/>
  <c r="B40" i="19"/>
  <c r="C36" i="19"/>
  <c r="B36" i="19"/>
  <c r="L3" i="19"/>
  <c r="L4" i="19"/>
  <c r="L5" i="19"/>
  <c r="L6" i="19"/>
  <c r="L7" i="19"/>
  <c r="L8" i="19"/>
  <c r="L9" i="19"/>
  <c r="L10" i="19"/>
  <c r="L11" i="19"/>
  <c r="L12" i="19"/>
  <c r="L13" i="19"/>
  <c r="L2" i="19"/>
  <c r="K3" i="19"/>
  <c r="K4" i="19"/>
  <c r="K5" i="19"/>
  <c r="K6" i="19"/>
  <c r="K7" i="19"/>
  <c r="K8" i="19"/>
  <c r="K9" i="19"/>
  <c r="K10" i="19"/>
  <c r="K11" i="19"/>
  <c r="K12" i="19"/>
  <c r="K13" i="19"/>
  <c r="K2" i="19"/>
  <c r="C35" i="19"/>
  <c r="B35" i="19"/>
  <c r="C27" i="19"/>
  <c r="B27" i="19"/>
  <c r="C26" i="19"/>
  <c r="B26" i="19"/>
  <c r="C25" i="19"/>
  <c r="B25" i="19"/>
  <c r="C24" i="19"/>
  <c r="B24" i="19"/>
  <c r="D45" i="8"/>
  <c r="C19" i="8"/>
  <c r="B19" i="8"/>
  <c r="C25" i="18"/>
  <c r="B25" i="18"/>
  <c r="D25" i="18" s="1"/>
  <c r="C26" i="18"/>
  <c r="B26" i="18"/>
  <c r="D26" i="18" s="1"/>
  <c r="C24" i="18"/>
  <c r="B24" i="18"/>
  <c r="H3" i="18"/>
  <c r="H4" i="18"/>
  <c r="H2" i="18"/>
  <c r="H6" i="18"/>
  <c r="H7" i="18"/>
  <c r="H5" i="18"/>
  <c r="G3" i="18"/>
  <c r="G4" i="18"/>
  <c r="G5" i="18"/>
  <c r="G6" i="18"/>
  <c r="G7" i="18"/>
  <c r="G2" i="18"/>
  <c r="B13" i="18"/>
  <c r="B19" i="18" s="1"/>
  <c r="C13" i="18"/>
  <c r="A13" i="18"/>
  <c r="B14" i="18"/>
  <c r="C14" i="18"/>
  <c r="B15" i="18"/>
  <c r="C15" i="18"/>
  <c r="D15" i="18" s="1"/>
  <c r="B16" i="18"/>
  <c r="C16" i="18"/>
  <c r="B17" i="18"/>
  <c r="B21" i="18" s="1"/>
  <c r="C17" i="18"/>
  <c r="C21" i="18" s="1"/>
  <c r="B18" i="18"/>
  <c r="C18" i="18"/>
  <c r="A18" i="18"/>
  <c r="A15" i="18"/>
  <c r="A16" i="18"/>
  <c r="A17" i="18"/>
  <c r="A14" i="18"/>
  <c r="C12" i="18"/>
  <c r="B12" i="18"/>
  <c r="D40" i="13"/>
  <c r="E2" i="13"/>
  <c r="D47" i="13"/>
  <c r="D46" i="13"/>
  <c r="B47" i="13"/>
  <c r="B46" i="13"/>
  <c r="C43" i="13"/>
  <c r="C44" i="13"/>
  <c r="B43" i="13"/>
  <c r="B44" i="13"/>
  <c r="C37" i="13"/>
  <c r="B37" i="13"/>
  <c r="C36" i="13"/>
  <c r="B36" i="13"/>
  <c r="C35" i="13"/>
  <c r="B35" i="13"/>
  <c r="C31" i="13"/>
  <c r="C32" i="13"/>
  <c r="C33" i="13"/>
  <c r="C30" i="13"/>
  <c r="B31" i="13"/>
  <c r="B32" i="13"/>
  <c r="B33" i="13"/>
  <c r="B30" i="13"/>
  <c r="C29" i="13"/>
  <c r="B29" i="13"/>
  <c r="D23" i="10"/>
  <c r="C23" i="10"/>
  <c r="B23" i="10"/>
  <c r="D22" i="10"/>
  <c r="C22" i="10"/>
  <c r="B22" i="10"/>
  <c r="D19" i="10"/>
  <c r="D18" i="10"/>
  <c r="D17" i="10"/>
  <c r="D16" i="10"/>
  <c r="C14" i="10"/>
  <c r="B14" i="10"/>
  <c r="C13" i="10"/>
  <c r="B13" i="10"/>
  <c r="C12" i="10"/>
  <c r="B12" i="10"/>
  <c r="D5" i="10"/>
  <c r="C8" i="10"/>
  <c r="B8" i="10"/>
  <c r="B10" i="10" s="1"/>
  <c r="E2" i="10"/>
  <c r="C26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G3" i="10"/>
  <c r="G2" i="10"/>
  <c r="E3" i="10"/>
  <c r="E2" i="19"/>
  <c r="E3" i="19"/>
  <c r="E4" i="19"/>
  <c r="E5" i="19"/>
  <c r="E6" i="19"/>
  <c r="E7" i="19"/>
  <c r="E8" i="19"/>
  <c r="E9" i="19"/>
  <c r="E10" i="19"/>
  <c r="E11" i="19"/>
  <c r="E12" i="19"/>
  <c r="E13" i="19"/>
  <c r="D2" i="19"/>
  <c r="D3" i="19"/>
  <c r="D4" i="19"/>
  <c r="D5" i="19"/>
  <c r="D6" i="19"/>
  <c r="D7" i="19"/>
  <c r="D8" i="19"/>
  <c r="D9" i="19"/>
  <c r="D10" i="19"/>
  <c r="D11" i="19"/>
  <c r="D12" i="19"/>
  <c r="D13" i="19"/>
  <c r="C18" i="19"/>
  <c r="C19" i="19"/>
  <c r="C22" i="19" s="1"/>
  <c r="C20" i="19"/>
  <c r="B20" i="19"/>
  <c r="B19" i="19"/>
  <c r="B18" i="19"/>
  <c r="I2" i="19"/>
  <c r="I3" i="19"/>
  <c r="I4" i="19"/>
  <c r="I5" i="19"/>
  <c r="I6" i="19"/>
  <c r="I7" i="19"/>
  <c r="I8" i="19"/>
  <c r="I9" i="19"/>
  <c r="I10" i="19"/>
  <c r="I11" i="19"/>
  <c r="I12" i="19"/>
  <c r="I13" i="19"/>
  <c r="H2" i="19"/>
  <c r="H3" i="19"/>
  <c r="H4" i="19"/>
  <c r="H5" i="19"/>
  <c r="H6" i="19"/>
  <c r="H7" i="19"/>
  <c r="H8" i="19"/>
  <c r="H9" i="19"/>
  <c r="H10" i="19"/>
  <c r="H11" i="19"/>
  <c r="H12" i="19"/>
  <c r="H13" i="19"/>
  <c r="C12" i="8"/>
  <c r="C13" i="8"/>
  <c r="C14" i="8"/>
  <c r="C15" i="8"/>
  <c r="C16" i="8"/>
  <c r="C17" i="8"/>
  <c r="C20" i="8"/>
  <c r="C21" i="8"/>
  <c r="C22" i="8"/>
  <c r="C23" i="8"/>
  <c r="B23" i="8"/>
  <c r="B22" i="8"/>
  <c r="B21" i="8"/>
  <c r="B20" i="8"/>
  <c r="B14" i="8"/>
  <c r="B17" i="8"/>
  <c r="B16" i="8"/>
  <c r="B15" i="8"/>
  <c r="B13" i="8"/>
  <c r="B12" i="8"/>
  <c r="G3" i="8"/>
  <c r="G4" i="8"/>
  <c r="G5" i="8"/>
  <c r="G6" i="8"/>
  <c r="G7" i="8"/>
  <c r="G8" i="8"/>
  <c r="G2" i="8"/>
  <c r="E3" i="8"/>
  <c r="E4" i="8"/>
  <c r="E5" i="8"/>
  <c r="E6" i="8"/>
  <c r="E7" i="8"/>
  <c r="E8" i="8"/>
  <c r="E2" i="8"/>
  <c r="C17" i="19"/>
  <c r="C29" i="19" s="1"/>
  <c r="B17" i="19"/>
  <c r="B29" i="19" s="1"/>
  <c r="C19" i="18" l="1"/>
  <c r="B20" i="18"/>
  <c r="D18" i="18"/>
  <c r="C20" i="18"/>
  <c r="D14" i="18"/>
  <c r="D16" i="18"/>
  <c r="D12" i="18"/>
  <c r="D13" i="18"/>
  <c r="D17" i="18"/>
  <c r="D19" i="19"/>
  <c r="B22" i="19"/>
  <c r="B30" i="19"/>
  <c r="C30" i="19"/>
  <c r="B31" i="19"/>
  <c r="C31" i="19"/>
  <c r="D24" i="19"/>
  <c r="D27" i="19"/>
  <c r="D25" i="19"/>
  <c r="D26" i="19"/>
  <c r="B23" i="19"/>
  <c r="B28" i="19"/>
  <c r="C28" i="19"/>
  <c r="D17" i="8"/>
  <c r="D23" i="8"/>
  <c r="B42" i="13"/>
  <c r="C42" i="13"/>
  <c r="B39" i="13"/>
  <c r="B40" i="13"/>
  <c r="C39" i="13"/>
  <c r="D30" i="13"/>
  <c r="C40" i="13"/>
  <c r="C41" i="13" s="1"/>
  <c r="C34" i="13"/>
  <c r="B45" i="13"/>
  <c r="C45" i="13"/>
  <c r="D33" i="13"/>
  <c r="D36" i="13"/>
  <c r="D37" i="13"/>
  <c r="D32" i="13"/>
  <c r="B34" i="13"/>
  <c r="D35" i="13"/>
  <c r="D31" i="13"/>
  <c r="D8" i="10"/>
  <c r="B9" i="10"/>
  <c r="C9" i="10"/>
  <c r="C10" i="10"/>
  <c r="D20" i="19"/>
  <c r="C23" i="19"/>
  <c r="D17" i="19"/>
  <c r="B21" i="19"/>
  <c r="J3" i="19"/>
  <c r="J11" i="19"/>
  <c r="J12" i="19"/>
  <c r="J4" i="19"/>
  <c r="J8" i="19"/>
  <c r="J10" i="19"/>
  <c r="J2" i="19"/>
  <c r="J7" i="19"/>
  <c r="J6" i="19"/>
  <c r="J9" i="19"/>
  <c r="J13" i="19"/>
  <c r="J5" i="19"/>
  <c r="C21" i="19"/>
  <c r="C37" i="19"/>
  <c r="C38" i="19"/>
  <c r="B37" i="19"/>
  <c r="B38" i="19"/>
  <c r="C39" i="8"/>
  <c r="C44" i="8"/>
  <c r="B36" i="8"/>
  <c r="C36" i="8"/>
  <c r="C35" i="8"/>
  <c r="B32" i="8"/>
  <c r="B41" i="8"/>
  <c r="B33" i="8"/>
  <c r="B37" i="8"/>
  <c r="D37" i="8" s="1"/>
  <c r="C41" i="8"/>
  <c r="B40" i="8"/>
  <c r="C32" i="8"/>
  <c r="C33" i="8"/>
  <c r="C37" i="8"/>
  <c r="B42" i="8"/>
  <c r="B44" i="8"/>
  <c r="B34" i="8"/>
  <c r="B38" i="8"/>
  <c r="C42" i="8"/>
  <c r="C34" i="8"/>
  <c r="C38" i="8"/>
  <c r="C40" i="8"/>
  <c r="B31" i="8"/>
  <c r="B35" i="8"/>
  <c r="B39" i="8"/>
  <c r="C31" i="8"/>
  <c r="B43" i="8"/>
  <c r="C43" i="8"/>
  <c r="B25" i="8"/>
  <c r="C25" i="8"/>
  <c r="B24" i="8"/>
  <c r="B18" i="8"/>
  <c r="C24" i="8"/>
  <c r="C18" i="8"/>
  <c r="D35" i="8" l="1"/>
  <c r="D31" i="8"/>
  <c r="D42" i="8"/>
  <c r="B41" i="13"/>
  <c r="D34" i="13"/>
  <c r="D46" i="19"/>
  <c r="D47" i="19"/>
  <c r="C45" i="19"/>
  <c r="C44" i="19"/>
  <c r="B45" i="19"/>
  <c r="B44" i="19"/>
  <c r="C39" i="19"/>
  <c r="B39" i="19"/>
  <c r="D44" i="19" l="1"/>
</calcChain>
</file>

<file path=xl/sharedStrings.xml><?xml version="1.0" encoding="utf-8"?>
<sst xmlns="http://schemas.openxmlformats.org/spreadsheetml/2006/main" count="304" uniqueCount="222">
  <si>
    <t>casual</t>
  </si>
  <si>
    <t># rideable_type</t>
  </si>
  <si>
    <t>Friday</t>
  </si>
  <si>
    <t>Monday</t>
  </si>
  <si>
    <t>Saturday</t>
  </si>
  <si>
    <t>Sunday</t>
  </si>
  <si>
    <t>Thursday</t>
  </si>
  <si>
    <t>Tuesday</t>
  </si>
  <si>
    <t>Wednesday</t>
  </si>
  <si>
    <t># day_of_week</t>
  </si>
  <si>
    <t>casual_count</t>
  </si>
  <si>
    <t>member_count</t>
  </si>
  <si>
    <t>casual_avg_duration</t>
  </si>
  <si>
    <t>member_avg_duration</t>
  </si>
  <si>
    <t># hour_of_day</t>
  </si>
  <si>
    <t>duration_bucket</t>
  </si>
  <si>
    <t>0-5 min</t>
  </si>
  <si>
    <t>5-10 min</t>
  </si>
  <si>
    <t>10-15 min</t>
  </si>
  <si>
    <t>15-30 min</t>
  </si>
  <si>
    <t>30-60 min</t>
  </si>
  <si>
    <t>60+ min</t>
  </si>
  <si>
    <t>casual_trip_count</t>
  </si>
  <si>
    <t>member_trip_count</t>
  </si>
  <si>
    <t>casual_pct_of_type</t>
  </si>
  <si>
    <t>member_pct_of_type</t>
  </si>
  <si>
    <t># month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</si>
  <si>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</si>
  <si>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</si>
  <si>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</si>
  <si>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</si>
  <si>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</si>
  <si>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</si>
  <si>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</si>
  <si>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</si>
  <si>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</si>
  <si>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</si>
  <si>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</si>
  <si>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Weekday Max</t>
  </si>
  <si>
    <t>Weekday Min</t>
  </si>
  <si>
    <t>Duration Patterns</t>
  </si>
  <si>
    <t>casual_avg_duration_sec</t>
  </si>
  <si>
    <t>member_avg_duration_sec</t>
  </si>
  <si>
    <t>Weekend Max</t>
  </si>
  <si>
    <t>Weekend Min</t>
  </si>
  <si>
    <t>Weekday Avg</t>
  </si>
  <si>
    <t>Weekend Avg</t>
  </si>
  <si>
    <t>Casual</t>
  </si>
  <si>
    <t>Member</t>
  </si>
  <si>
    <t>Totals</t>
  </si>
  <si>
    <t>-</t>
  </si>
  <si>
    <t>Metric</t>
  </si>
  <si>
    <t>Casuals</t>
  </si>
  <si>
    <t>Members</t>
  </si>
  <si>
    <t>Interpretation</t>
  </si>
  <si>
    <t>Members are weekday-focused</t>
  </si>
  <si>
    <t>Casuals are weekend-heavy</t>
  </si>
  <si>
    <t>Opposite patterns</t>
  </si>
  <si>
    <t>Casuals start weekend early</t>
  </si>
  <si>
    <t>2.12:1</t>
  </si>
  <si>
    <t>Members dominate weekdays</t>
  </si>
  <si>
    <t>1.09:1</t>
  </si>
  <si>
    <t>Near-parity on weekends</t>
  </si>
  <si>
    <t>Casuals 73% longer</t>
  </si>
  <si>
    <t>Casuals 95% longer</t>
  </si>
  <si>
    <t>Casuals extend more</t>
  </si>
  <si>
    <t>Casuals 9x more variable</t>
  </si>
  <si>
    <t>Wed 18:57</t>
  </si>
  <si>
    <t>Wed 11:39</t>
  </si>
  <si>
    <t>Both most efficient mid-week</t>
  </si>
  <si>
    <t>Sun 26:32</t>
  </si>
  <si>
    <t>Sun 13:30</t>
  </si>
  <si>
    <t>Both most leisurely on Sunday</t>
  </si>
  <si>
    <t>members</t>
  </si>
  <si>
    <t>Weekday trips %</t>
  </si>
  <si>
    <t>Weekend trips %</t>
  </si>
  <si>
    <t>Total Trips</t>
  </si>
  <si>
    <t>Total Avg</t>
  </si>
  <si>
    <t>Weekday Total</t>
  </si>
  <si>
    <t>Weekend Total</t>
  </si>
  <si>
    <t>Weekday to Weekend Change %</t>
  </si>
  <si>
    <t>Mon-Thur to Fri Change %</t>
  </si>
  <si>
    <t>Members weekday-focused</t>
  </si>
  <si>
    <t>Casuals prefer weekends</t>
  </si>
  <si>
    <t>Weekend Range</t>
  </si>
  <si>
    <t>Weekday Range</t>
  </si>
  <si>
    <t>decimal fraction of day constant</t>
  </si>
  <si>
    <t>*Sunday is peak duration day for both, but casuals are still riding almost 2x longer.</t>
  </si>
  <si>
    <t>Max</t>
  </si>
  <si>
    <t>Min</t>
  </si>
  <si>
    <t>Range</t>
  </si>
  <si>
    <t>Average</t>
  </si>
  <si>
    <t>Monthly 
Count Gap</t>
  </si>
  <si>
    <t>Monthly
Duration Gap</t>
  </si>
  <si>
    <t>Count
Member:Casual</t>
  </si>
  <si>
    <t>Calc</t>
  </si>
  <si>
    <t>Volume Patterns</t>
  </si>
  <si>
    <t>Seasonal Change % (winter to summer)</t>
  </si>
  <si>
    <t>Seasonal Change absolute (winter to summer)</t>
  </si>
  <si>
    <t>Summer Duration Gap</t>
  </si>
  <si>
    <t>Winter Duration Gap</t>
  </si>
  <si>
    <t>casual count</t>
  </si>
  <si>
    <t>member count</t>
  </si>
  <si>
    <t>casual avg duration</t>
  </si>
  <si>
    <t>member avg duration</t>
  </si>
  <si>
    <t>2024-09</t>
  </si>
  <si>
    <t>Members 1.76x more trips</t>
  </si>
  <si>
    <t>classics %</t>
  </si>
  <si>
    <t>ebikes %</t>
  </si>
  <si>
    <t>Despite members taking 76% more trips overall, both groups choose electric ~61% of the time (difference of only 1.4 percentage points).</t>
  </si>
  <si>
    <t>classic bike</t>
  </si>
  <si>
    <t>electric bike</t>
  </si>
  <si>
    <t>Duration classic-ebike</t>
  </si>
  <si>
    <t>Ratio classic:ebike</t>
  </si>
  <si>
    <t>% classic longer</t>
  </si>
  <si>
    <t>Classic casual vs member Gap</t>
  </si>
  <si>
    <t>Classic casual vs member ratio</t>
  </si>
  <si>
    <t>Electric casual vs member Gap</t>
  </si>
  <si>
    <t>Electric casual vs member ratio</t>
  </si>
  <si>
    <t>Casuals ride classic bikes 2.73x longer than members.</t>
  </si>
  <si>
    <t>Casuals ride electric bikes 1.29x longer than members.</t>
  </si>
  <si>
    <t>Overall Weighted Averages</t>
  </si>
  <si>
    <t>Total Average Duration sec</t>
  </si>
  <si>
    <t>Total Average Duration hh:mm</t>
  </si>
  <si>
    <t>Casuals overall ride 1.9x longer than members</t>
  </si>
  <si>
    <t>Casuals ride over 11 minutes longer</t>
  </si>
  <si>
    <t>12AM</t>
  </si>
  <si>
    <t>1AM</t>
  </si>
  <si>
    <t>2AM</t>
  </si>
  <si>
    <t>3AM</t>
  </si>
  <si>
    <t>8AM</t>
  </si>
  <si>
    <t>Noon</t>
  </si>
  <si>
    <t>5PM</t>
  </si>
  <si>
    <t>Casual advantage</t>
  </si>
  <si>
    <t>Members dominate morning rush</t>
  </si>
  <si>
    <t>Members advantage</t>
  </si>
  <si>
    <t>Members advantage evening rush</t>
  </si>
  <si>
    <t>12AM to 3AM</t>
  </si>
  <si>
    <t>Minimum</t>
  </si>
  <si>
    <t>Maximum</t>
  </si>
  <si>
    <t>Casuals and Members 5 AM</t>
  </si>
  <si>
    <t>Casuals 3AM, Members 3AM and 5PM</t>
  </si>
  <si>
    <t>Members very consistent throughout the day</t>
  </si>
  <si>
    <t>Gap Max 3AM</t>
  </si>
  <si>
    <t>Gap Min 5AM</t>
  </si>
  <si>
    <t>Casuals 1.45x longer at 5AM</t>
  </si>
  <si>
    <t>Casuals 2.16x longer at 3AM</t>
  </si>
  <si>
    <t>Sum sec</t>
  </si>
  <si>
    <t>Avg sec</t>
  </si>
  <si>
    <t>STD sec</t>
  </si>
  <si>
    <t>AVG hh:mm:ss</t>
  </si>
  <si>
    <t>Casuals ride 1.87x longer on average</t>
  </si>
  <si>
    <t>x more members</t>
  </si>
  <si>
    <t>x more casuals</t>
  </si>
  <si>
    <t>members lead</t>
  </si>
  <si>
    <t>% gap</t>
  </si>
  <si>
    <t>members barely lead</t>
  </si>
  <si>
    <t>casuals lead</t>
  </si>
  <si>
    <t>members lead, max percent bucket for both</t>
  </si>
  <si>
    <t>% ratio</t>
  </si>
  <si>
    <t>Under 15 min</t>
  </si>
  <si>
    <t>76% members vs 61% casuals under 15 min</t>
  </si>
  <si>
    <t>Over 30 min</t>
  </si>
  <si>
    <t>casuals 3x more likely to ride 30+ min</t>
  </si>
  <si>
    <t>Volume</t>
  </si>
  <si>
    <t>Duration</t>
  </si>
  <si>
    <t>Cumulative %</t>
  </si>
  <si>
    <t>Over 15 min</t>
  </si>
  <si>
    <t xml:space="preserve">Casuals +34%, members -5%. </t>
  </si>
  <si>
    <t>Weekday to weekend: +53% casuals, -21% members</t>
  </si>
  <si>
    <t>Weekday member:casual 2.2:1</t>
  </si>
  <si>
    <t>Weekend member:casual 1.1:1 (close to parity)</t>
  </si>
  <si>
    <t>Mon-Thur to Fri Change</t>
  </si>
  <si>
    <t>Casuals ride ~1.9x longer each entire week than members.</t>
  </si>
  <si>
    <t>Members only range 28 seconds on weekdays</t>
  </si>
  <si>
    <t>Casuals ride 1.8x longer on weekdays</t>
  </si>
  <si>
    <t>Casuals ride 2x longer on weekends</t>
  </si>
  <si>
    <t>*Regarding mondays…casuals are ramping down from the weekend, dipping on Wedenesday, then gradually increasing until Sunday.</t>
  </si>
  <si>
    <t>*Members peak Tue-Thursday. Monday and Friday are about the same, but much less than weekends.</t>
  </si>
  <si>
    <t>*Casual weekday gap widens during the weekend. Casuals are more experience-focused and treat bike-share as recreational amenity.</t>
  </si>
  <si>
    <t>*Members are more utility focused and imply very similar routes from week to week…essentially using direct route transporation infrastructure.</t>
  </si>
  <si>
    <t>Casuals and members peak month is August 2025</t>
  </si>
  <si>
    <t>Both groups vanish in winter.</t>
  </si>
  <si>
    <t>Members 4.2x more in winter</t>
  </si>
  <si>
    <t>Members 2.1x more in spring</t>
  </si>
  <si>
    <t>Members 1.9x more in fall</t>
  </si>
  <si>
    <t>Fall total</t>
  </si>
  <si>
    <t>Winter total</t>
  </si>
  <si>
    <t>Spring total</t>
  </si>
  <si>
    <t>Summer total</t>
  </si>
  <si>
    <t>Spring trips %</t>
  </si>
  <si>
    <t>Fall trips %</t>
  </si>
  <si>
    <t>Winter trips %</t>
  </si>
  <si>
    <t>Summer trips %</t>
  </si>
  <si>
    <t>Fall trips % of total comparable</t>
  </si>
  <si>
    <t>Winter lowest percent of total for both groups</t>
  </si>
  <si>
    <t>Summer is the strongest season for casuals by percent</t>
  </si>
  <si>
    <t>Winter to summer growth much more significant for casuals</t>
  </si>
  <si>
    <t>Peak/trough ratio</t>
  </si>
  <si>
    <t>Peak/trough change %</t>
  </si>
  <si>
    <t>Members 1.3x more in summer. Closest to equilibrium.</t>
  </si>
  <si>
    <t>Casual Weighted Total Seconds</t>
  </si>
  <si>
    <t>Members Weighted Total Seconds</t>
  </si>
  <si>
    <t>Weighted Average</t>
  </si>
  <si>
    <t>Casuals average ~23 minutes, members ~12 minutes</t>
  </si>
  <si>
    <t>Casuals max in June, members July</t>
  </si>
  <si>
    <t>Casuals min January, members Febuary</t>
  </si>
  <si>
    <t>Fall avg</t>
  </si>
  <si>
    <t>Winter avg</t>
  </si>
  <si>
    <t>Spring avg</t>
  </si>
  <si>
    <t>Summer avg</t>
  </si>
  <si>
    <t>Casuals range 10.8 min across a year, members just 3.3 minutes only</t>
  </si>
  <si>
    <t>Summer separation between casuals and members</t>
  </si>
  <si>
    <t>Winter separation between casuals and members</t>
  </si>
  <si>
    <t>Casuals show 2x more seasonal variation</t>
  </si>
  <si>
    <t>Members outnumber casuals 4.75:1 in January. 83% of market share</t>
  </si>
  <si>
    <t>Gap narrows in winter and widens in summer, especially when looking at jan and june specifically</t>
  </si>
  <si>
    <t>Under 15 min %</t>
  </si>
  <si>
    <t>Over 15 min %</t>
  </si>
  <si>
    <t>Over 30 min %</t>
  </si>
  <si>
    <t>Over 60 min %</t>
  </si>
  <si>
    <t>Member advantage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</si>
</sst>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i/>
      <sz val="11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21" fontId="0" fillId="0" borderId="0" xfId="0" applyNumberFormat="1"/>
    <xf numFmtId="0" fontId="0" fillId="0" borderId="0" xfId="0" applyAlignment="1">
      <alignment vertical="center" wrapText="1"/>
    </xf>
    <xf numFmtId="21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vertical="center" wrapText="1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21" fontId="1" fillId="0" borderId="0" xfId="0" applyNumberFormat="1" applyFont="1" applyAlignment="1">
      <alignment horizontal="center" vertical="center"/>
    </xf>
    <xf numFmtId="46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21" fontId="0" fillId="2" borderId="0" xfId="0" applyNumberFormat="1" applyFill="1" applyAlignment="1">
      <alignment horizontal="center" vertical="center"/>
    </xf>
    <xf numFmtId="164" fontId="0" fillId="0" borderId="0" xfId="0" applyNumberFormat="1"/>
    <xf numFmtId="0" fontId="2" fillId="0" borderId="0" xfId="0" applyFont="1" applyAlignment="1">
      <alignment horizontal="left" vertical="center" indent="2"/>
    </xf>
    <xf numFmtId="0" fontId="1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" fontId="0" fillId="0" borderId="0" xfId="0" applyNumberFormat="1" applyAlignment="1">
      <alignment horizontal="left" vertical="center"/>
    </xf>
    <xf numFmtId="21" fontId="0" fillId="0" borderId="0" xfId="0" applyNumberFormat="1" applyAlignment="1">
      <alignment horizontal="left" vertical="center"/>
    </xf>
    <xf numFmtId="0" fontId="6" fillId="0" borderId="0" xfId="1"/>
    <xf numFmtId="0" fontId="3" fillId="0" borderId="0" xfId="0" applyFont="1" applyAlignment="1">
      <alignment horizontal="right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right"/>
    </xf>
    <xf numFmtId="1" fontId="0" fillId="0" borderId="0" xfId="0" applyNumberForma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1" fontId="9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21" fontId="0" fillId="2" borderId="0" xfId="0" applyNumberForma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center" wrapText="1"/>
    </xf>
    <xf numFmtId="1" fontId="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" fontId="10" fillId="0" borderId="0" xfId="0" applyNumberFormat="1" applyFont="1" applyAlignment="1">
      <alignment horizontal="left" vertical="center"/>
    </xf>
    <xf numFmtId="2" fontId="10" fillId="0" borderId="0" xfId="0" applyNumberFormat="1" applyFont="1" applyAlignment="1">
      <alignment horizontal="left"/>
    </xf>
    <xf numFmtId="46" fontId="0" fillId="0" borderId="0" xfId="0" applyNumberFormat="1" applyAlignment="1">
      <alignment horizontal="center"/>
    </xf>
    <xf numFmtId="0" fontId="10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595959"/>
      <color rgb="FF7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5.xml"/><Relationship Id="rId13" Type="http://schemas.openxmlformats.org/officeDocument/2006/relationships/worksheet" Target="worksheets/sheet5.xml"/><Relationship Id="rId1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worksheet" Target="worksheets/sheet3.xml"/><Relationship Id="rId12" Type="http://schemas.openxmlformats.org/officeDocument/2006/relationships/chartsheet" Target="chartsheets/sheet8.xml"/><Relationship Id="rId17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7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0.xml"/><Relationship Id="rId10" Type="http://schemas.openxmlformats.org/officeDocument/2006/relationships/worksheet" Target="worksheets/sheet4.xml"/><Relationship Id="rId19" Type="http://schemas.openxmlformats.org/officeDocument/2006/relationships/calcChain" Target="calcChain.xml"/><Relationship Id="rId4" Type="http://schemas.openxmlformats.org/officeDocument/2006/relationships/worksheet" Target="worksheets/sheet2.xml"/><Relationship Id="rId9" Type="http://schemas.openxmlformats.org/officeDocument/2006/relationships/chartsheet" Target="chartsheets/sheet6.xml"/><Relationship Id="rId14" Type="http://schemas.openxmlformats.org/officeDocument/2006/relationships/chartsheet" Target="chart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cap="none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cap="none" baseline="0"/>
              <a:t>Electric bikes dominate, but preferences nearly identical</a:t>
            </a:r>
            <a:endParaRPr lang="en-US" sz="1800" cap="none" baseline="0"/>
          </a:p>
        </c:rich>
      </c:tx>
      <c:layout>
        <c:manualLayout>
          <c:xMode val="edge"/>
          <c:yMode val="edge"/>
          <c:x val="3.1403930080587436E-2"/>
          <c:y val="1.21212121212121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cap="none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955648589700932E-2"/>
          <c:y val="0.10297987751531058"/>
          <c:w val="0.90291532660530105"/>
          <c:h val="0.85015493517855723"/>
        </c:manualLayout>
      </c:layout>
      <c:barChart>
        <c:barDir val="col"/>
        <c:grouping val="clustered"/>
        <c:varyColors val="0"/>
        <c:ser>
          <c:idx val="0"/>
          <c:order val="0"/>
          <c:tx>
            <c:v>casuals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8.0906148867313909E-3"/>
                </c:manualLayout>
              </c:layout>
              <c:tx>
                <c:rich>
                  <a:bodyPr/>
                  <a:lstStyle/>
                  <a:p>
                    <a:fld id="{A2110382-6DA6-409D-8848-A349357C5B7E}" type="VALUE">
                      <a:rPr lang="en-US"/>
                      <a:pPr/>
                      <a:t>[VALUE]</a:t>
                    </a:fld>
                    <a:r>
                      <a:rPr lang="en-US"/>
                      <a:t> M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51C8-495B-9CB8-C2DB109A8CBD}"/>
                </c:ext>
              </c:extLst>
            </c:dLbl>
            <c:dLbl>
              <c:idx val="1"/>
              <c:layout>
                <c:manualLayout>
                  <c:x val="0"/>
                  <c:y val="8.0906148867313909E-3"/>
                </c:manualLayout>
              </c:layout>
              <c:tx>
                <c:rich>
                  <a:bodyPr/>
                  <a:lstStyle/>
                  <a:p>
                    <a:fld id="{44E23D92-9499-4B28-ADEB-2E717CC54452}" type="VALUE">
                      <a:rPr lang="en-US"/>
                      <a:pPr/>
                      <a:t>[VALUE]</a:t>
                    </a:fld>
                    <a:r>
                      <a:rPr lang="en-US"/>
                      <a:t> M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1C8-495B-9CB8-C2DB109A8CBD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RideType_Data!$A$2:$A$3</c:f>
              <c:strCache>
                <c:ptCount val="2"/>
                <c:pt idx="0">
                  <c:v>classic bike</c:v>
                </c:pt>
                <c:pt idx="1">
                  <c:v>electric bike</c:v>
                </c:pt>
              </c:strCache>
            </c:strRef>
          </c:cat>
          <c:val>
            <c:numRef>
              <c:f>RideType_Data!$B$2:$B$3</c:f>
              <c:numCache>
                <c:formatCode>General</c:formatCode>
                <c:ptCount val="2"/>
                <c:pt idx="0">
                  <c:v>761949</c:v>
                </c:pt>
                <c:pt idx="1">
                  <c:v>1230155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7-4C0C-B34D-6FA769A94D92}"/>
            </c:ext>
          </c:extLst>
        </c:ser>
        <c:ser>
          <c:idx val="1"/>
          <c:order val="1"/>
          <c:tx>
            <c:v>members</c:v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dLbl>
              <c:idx val="0"/>
              <c:layout>
                <c:manualLayout>
                  <c:x val="-5.3794370738112648E-17"/>
                  <c:y val="6.0679611650484699E-3"/>
                </c:manualLayout>
              </c:layout>
              <c:tx>
                <c:rich>
                  <a:bodyPr/>
                  <a:lstStyle/>
                  <a:p>
                    <a:fld id="{BDD346A8-3C72-4F19-80BA-FF2E5CED6C0B}" type="VALUE">
                      <a:rPr lang="en-US"/>
                      <a:pPr/>
                      <a:t>[VALUE]</a:t>
                    </a:fld>
                    <a:r>
                      <a:rPr lang="en-US"/>
                      <a:t> M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1C8-495B-9CB8-C2DB109A8CBD}"/>
                </c:ext>
              </c:extLst>
            </c:dLbl>
            <c:dLbl>
              <c:idx val="1"/>
              <c:layout>
                <c:manualLayout>
                  <c:x val="0"/>
                  <c:y val="8.0906148867313909E-3"/>
                </c:manualLayout>
              </c:layout>
              <c:tx>
                <c:rich>
                  <a:bodyPr/>
                  <a:lstStyle/>
                  <a:p>
                    <a:fld id="{FF61BE1D-D40F-415B-B321-3D3BAAB3FFB4}" type="VALUE">
                      <a:rPr lang="en-US"/>
                      <a:pPr/>
                      <a:t>[VALUE]</a:t>
                    </a:fld>
                    <a:r>
                      <a:rPr lang="en-US"/>
                      <a:t> M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1C8-495B-9CB8-C2DB109A8CBD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RideType_Data!$A$2:$A$3</c:f>
              <c:strCache>
                <c:ptCount val="2"/>
                <c:pt idx="0">
                  <c:v>classic bike</c:v>
                </c:pt>
                <c:pt idx="1">
                  <c:v>electric bike</c:v>
                </c:pt>
              </c:strCache>
            </c:strRef>
          </c:cat>
          <c:val>
            <c:numRef>
              <c:f>RideType_Data!$C$2:$C$3</c:f>
              <c:numCache>
                <c:formatCode>General</c:formatCode>
                <c:ptCount val="2"/>
                <c:pt idx="0">
                  <c:v>1390323</c:v>
                </c:pt>
                <c:pt idx="1">
                  <c:v>2118878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7-4C0C-B34D-6FA769A94D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005995279"/>
        <c:axId val="1006005359"/>
      </c:barChart>
      <c:catAx>
        <c:axId val="100599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05359"/>
        <c:crosses val="autoZero"/>
        <c:auto val="1"/>
        <c:lblAlgn val="ctr"/>
        <c:lblOffset val="100"/>
        <c:noMultiLvlLbl val="0"/>
      </c:catAx>
      <c:valAx>
        <c:axId val="1006005359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995279"/>
        <c:crosses val="autoZero"/>
        <c:crossBetween val="between"/>
        <c:majorUnit val="250000"/>
        <c:dispUnits>
          <c:builtInUnit val="millions"/>
          <c:dispUnitsLbl>
            <c:layout>
              <c:manualLayout>
                <c:xMode val="edge"/>
                <c:yMode val="edge"/>
                <c:x val="3.2256316772023209E-2"/>
                <c:y val="5.6515174680834793E-2"/>
              </c:manualLayout>
            </c:layout>
            <c:tx>
              <c:rich>
                <a:bodyPr rot="0" spcFirstLastPara="1" vertOverflow="ellipsis" wrap="square" anchor="ctr" anchorCtr="1"/>
                <a:lstStyle/>
                <a:p>
                  <a:pPr algn="l">
                    <a:defRPr sz="1100" b="1" i="0" u="none" strike="noStrike" kern="1200" baseline="0">
                      <a:solidFill>
                        <a:srgbClr val="595959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>
                      <a:solidFill>
                        <a:srgbClr val="595959"/>
                      </a:solidFill>
                    </a:rPr>
                    <a:t>Ride count M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 algn="l">
                  <a:defRPr sz="1100" b="1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0470534823111894"/>
          <c:y val="5.8574618403282111E-2"/>
          <c:w val="0.16916680529370448"/>
          <c:h val="3.409114769744691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cap="none" baseline="0"/>
              <a:t>Casuals ride classic bikes 2.7x longer than members</a:t>
            </a:r>
          </a:p>
        </c:rich>
      </c:tx>
      <c:layout>
        <c:manualLayout>
          <c:xMode val="edge"/>
          <c:yMode val="edge"/>
          <c:x val="2.3980282614321096E-2"/>
          <c:y val="1.2135922330097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20142970685003E-2"/>
          <c:y val="0.12535404403333078"/>
          <c:w val="0.8856600726405679"/>
          <c:h val="0.82772389343322372"/>
        </c:manualLayout>
      </c:layout>
      <c:barChart>
        <c:barDir val="col"/>
        <c:grouping val="clustered"/>
        <c:varyColors val="0"/>
        <c:ser>
          <c:idx val="0"/>
          <c:order val="0"/>
          <c:tx>
            <c:v>casuals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2.022653721682847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C6-4E69-B273-7FA492CA71F6}"/>
                </c:ext>
              </c:extLst>
            </c:dLbl>
            <c:dLbl>
              <c:idx val="1"/>
              <c:layout>
                <c:manualLayout>
                  <c:x val="-1.075887414762253E-16"/>
                  <c:y val="4.045307443365695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C6-4E69-B273-7FA492CA71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RideType_Data!$A$2:$A$3</c:f>
              <c:strCache>
                <c:ptCount val="2"/>
                <c:pt idx="0">
                  <c:v>classic bike</c:v>
                </c:pt>
                <c:pt idx="1">
                  <c:v>electric bike</c:v>
                </c:pt>
              </c:strCache>
            </c:strRef>
          </c:cat>
          <c:val>
            <c:numRef>
              <c:f>RideType_Data!$D$2:$D$3</c:f>
              <c:numCache>
                <c:formatCode>h:mm:ss</c:formatCode>
                <c:ptCount val="2"/>
                <c:pt idx="0">
                  <c:v>2.6516203703703705E-2</c:v>
                </c:pt>
                <c:pt idx="1">
                  <c:v>9.8495370370370369E-3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2-4451-87A0-9384DCCB40B3}"/>
            </c:ext>
          </c:extLst>
        </c:ser>
        <c:ser>
          <c:idx val="1"/>
          <c:order val="1"/>
          <c:tx>
            <c:v>members</c:v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6.067961165048543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C6-4E69-B273-7FA492CA71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RideType_Data!$A$2:$A$3</c:f>
              <c:strCache>
                <c:ptCount val="2"/>
                <c:pt idx="0">
                  <c:v>classic bike</c:v>
                </c:pt>
                <c:pt idx="1">
                  <c:v>electric bike</c:v>
                </c:pt>
              </c:strCache>
            </c:strRef>
          </c:cat>
          <c:val>
            <c:numRef>
              <c:f>RideType_Data!$F$2:$F$3</c:f>
              <c:numCache>
                <c:formatCode>h:mm:ss</c:formatCode>
                <c:ptCount val="2"/>
                <c:pt idx="0">
                  <c:v>9.6990740740740735E-3</c:v>
                </c:pt>
                <c:pt idx="1">
                  <c:v>7.6388888888888886E-3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62-4451-87A0-9384DCCB40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005995279"/>
        <c:axId val="1006005359"/>
      </c:barChart>
      <c:catAx>
        <c:axId val="100599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05359"/>
        <c:crosses val="autoZero"/>
        <c:auto val="1"/>
        <c:lblAlgn val="ctr"/>
        <c:lblOffset val="100"/>
        <c:noMultiLvlLbl val="0"/>
      </c:catAx>
      <c:valAx>
        <c:axId val="1006005359"/>
        <c:scaling>
          <c:orientation val="minMax"/>
          <c:max val="3.1250000000000007E-2"/>
          <c:min val="0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595959"/>
                    </a:solidFill>
                  </a:rPr>
                  <a:t>Avg duration h:m:s</a:t>
                </a:r>
              </a:p>
            </c:rich>
          </c:tx>
          <c:layout>
            <c:manualLayout>
              <c:xMode val="edge"/>
              <c:yMode val="edge"/>
              <c:x val="2.9342723004694836E-2"/>
              <c:y val="6.795272405269729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1" i="0" u="none" strike="noStrike" kern="1200" baseline="0">
                  <a:solidFill>
                    <a:srgbClr val="5959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995279"/>
        <c:crosses val="autoZero"/>
        <c:crossBetween val="between"/>
        <c:majorUnit val="3.4722222222220013E-3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7555612546671115"/>
          <c:y val="6.0629124939479653E-2"/>
          <c:w val="0.19712707016376477"/>
          <c:h val="3.413252044950691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 b="0"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cap="none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cap="none" baseline="0"/>
              <a:t>Members dominate the commuting hours</a:t>
            </a:r>
          </a:p>
        </c:rich>
      </c:tx>
      <c:layout>
        <c:manualLayout>
          <c:xMode val="edge"/>
          <c:yMode val="edge"/>
          <c:x val="2.7662794351410305E-2"/>
          <c:y val="1.2135922330097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cap="none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326194040885737E-2"/>
          <c:y val="0.10689756771908365"/>
          <c:w val="0.91053530830653207"/>
          <c:h val="0.80575755548760286"/>
        </c:manualLayout>
      </c:layout>
      <c:lineChart>
        <c:grouping val="standard"/>
        <c:varyColors val="0"/>
        <c:ser>
          <c:idx val="0"/>
          <c:order val="0"/>
          <c:tx>
            <c:v>casuals</c:v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3.8086854460093952E-2"/>
                  <c:y val="-5.389432510256606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98D45A1-5D60-4ADD-B5A2-C97FD344B73E}" type="VALUE">
                      <a:rPr lang="en-US"/>
                      <a:pPr>
                        <a:defRPr/>
                      </a:pPr>
                      <a:t>[VALUE]</a:t>
                    </a:fld>
                    <a:r>
                      <a:rPr lang="en-US"/>
                      <a:t>K</a:t>
                    </a:r>
                  </a:p>
                </c:rich>
              </c:tx>
              <c:numFmt formatCode="#,##0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0659-43BA-9EFD-FD946A1F854B}"/>
                </c:ext>
              </c:extLst>
            </c:dLbl>
            <c:dLbl>
              <c:idx val="17"/>
              <c:layout>
                <c:manualLayout>
                  <c:x val="-2.9107981220657279E-2"/>
                  <c:y val="-5.8872760747139694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C60D144-3D1C-42F1-94F7-4E23D3A27F26}" type="VALUE">
                      <a:rPr lang="en-US"/>
                      <a:pPr>
                        <a:defRPr/>
                      </a:pPr>
                      <a:t>[VALUE]</a:t>
                    </a:fld>
                    <a:r>
                      <a:rPr lang="en-US"/>
                      <a:t>K</a:t>
                    </a:r>
                  </a:p>
                </c:rich>
              </c:tx>
              <c:numFmt formatCode="#,##0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659-43BA-9EFD-FD946A1F854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Hourly_Data!$A$2:$A$25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Hourly_Data!$B$2:$B$25</c:f>
              <c:numCache>
                <c:formatCode>General</c:formatCode>
                <c:ptCount val="24"/>
                <c:pt idx="0">
                  <c:v>37849</c:v>
                </c:pt>
                <c:pt idx="1">
                  <c:v>24577</c:v>
                </c:pt>
                <c:pt idx="2">
                  <c:v>15876</c:v>
                </c:pt>
                <c:pt idx="3">
                  <c:v>8834</c:v>
                </c:pt>
                <c:pt idx="4">
                  <c:v>7036</c:v>
                </c:pt>
                <c:pt idx="5">
                  <c:v>11547</c:v>
                </c:pt>
                <c:pt idx="6">
                  <c:v>27293</c:v>
                </c:pt>
                <c:pt idx="7">
                  <c:v>50023</c:v>
                </c:pt>
                <c:pt idx="8">
                  <c:v>72034</c:v>
                </c:pt>
                <c:pt idx="9">
                  <c:v>71419</c:v>
                </c:pt>
                <c:pt idx="10">
                  <c:v>86638</c:v>
                </c:pt>
                <c:pt idx="11">
                  <c:v>110246</c:v>
                </c:pt>
                <c:pt idx="12">
                  <c:v>128276</c:v>
                </c:pt>
                <c:pt idx="13">
                  <c:v>132459</c:v>
                </c:pt>
                <c:pt idx="14">
                  <c:v>139227</c:v>
                </c:pt>
                <c:pt idx="15">
                  <c:v>155069</c:v>
                </c:pt>
                <c:pt idx="16">
                  <c:v>175375</c:v>
                </c:pt>
                <c:pt idx="17">
                  <c:v>188156</c:v>
                </c:pt>
                <c:pt idx="18">
                  <c:v>161431</c:v>
                </c:pt>
                <c:pt idx="19">
                  <c:v>119809</c:v>
                </c:pt>
                <c:pt idx="20">
                  <c:v>87035</c:v>
                </c:pt>
                <c:pt idx="21">
                  <c:v>73733</c:v>
                </c:pt>
                <c:pt idx="22">
                  <c:v>63080</c:v>
                </c:pt>
                <c:pt idx="23">
                  <c:v>45082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59-43BA-9EFD-FD946A1F854B}"/>
            </c:ext>
          </c:extLst>
        </c:ser>
        <c:ser>
          <c:idx val="1"/>
          <c:order val="1"/>
          <c:tx>
            <c:v>members</c:v>
          </c:tx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3.5876330819563047E-2"/>
                  <c:y val="0.11460085238131641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D20A92E-1BF3-494F-A0C9-6BB24118D790}" type="VALUE">
                      <a:rPr lang="en-US"/>
                      <a:pPr>
                        <a:defRPr/>
                      </a:pPr>
                      <a:t>[VALUE]</a:t>
                    </a:fld>
                    <a:r>
                      <a:rPr lang="en-US"/>
                      <a:t>K</a:t>
                    </a:r>
                  </a:p>
                </c:rich>
              </c:tx>
              <c:numFmt formatCode="#,##0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659-43BA-9EFD-FD946A1F854B}"/>
                </c:ext>
              </c:extLst>
            </c:dLbl>
            <c:dLbl>
              <c:idx val="17"/>
              <c:layout>
                <c:manualLayout>
                  <c:x val="-3.5563380281690246E-2"/>
                  <c:y val="0.10962241673674278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5806019-ABE6-402A-B1D3-D37F1C409D9D}" type="VALUE">
                      <a:rPr lang="en-US"/>
                      <a:pPr>
                        <a:defRPr/>
                      </a:pPr>
                      <a:t>[VALUE]</a:t>
                    </a:fld>
                    <a:r>
                      <a:rPr lang="en-US"/>
                      <a:t>K</a:t>
                    </a:r>
                  </a:p>
                </c:rich>
              </c:tx>
              <c:numFmt formatCode="#,##0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0659-43BA-9EFD-FD946A1F854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Hourly_Data!$A$2:$A$25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Hourly_Data!$C$2:$C$25</c:f>
              <c:numCache>
                <c:formatCode>General</c:formatCode>
                <c:ptCount val="24"/>
                <c:pt idx="0">
                  <c:v>32241</c:v>
                </c:pt>
                <c:pt idx="1">
                  <c:v>20144</c:v>
                </c:pt>
                <c:pt idx="2">
                  <c:v>11918</c:v>
                </c:pt>
                <c:pt idx="3">
                  <c:v>8094</c:v>
                </c:pt>
                <c:pt idx="4">
                  <c:v>8891</c:v>
                </c:pt>
                <c:pt idx="5">
                  <c:v>33348</c:v>
                </c:pt>
                <c:pt idx="6">
                  <c:v>99865</c:v>
                </c:pt>
                <c:pt idx="7">
                  <c:v>196729</c:v>
                </c:pt>
                <c:pt idx="8">
                  <c:v>253114</c:v>
                </c:pt>
                <c:pt idx="9">
                  <c:v>167954</c:v>
                </c:pt>
                <c:pt idx="10">
                  <c:v>144270</c:v>
                </c:pt>
                <c:pt idx="11">
                  <c:v>169036</c:v>
                </c:pt>
                <c:pt idx="12">
                  <c:v>189753</c:v>
                </c:pt>
                <c:pt idx="13">
                  <c:v>185170</c:v>
                </c:pt>
                <c:pt idx="14">
                  <c:v>187668</c:v>
                </c:pt>
                <c:pt idx="15">
                  <c:v>234740</c:v>
                </c:pt>
                <c:pt idx="16">
                  <c:v>328490</c:v>
                </c:pt>
                <c:pt idx="17">
                  <c:v>373058</c:v>
                </c:pt>
                <c:pt idx="18">
                  <c:v>288891</c:v>
                </c:pt>
                <c:pt idx="19">
                  <c:v>200418</c:v>
                </c:pt>
                <c:pt idx="20">
                  <c:v>139223</c:v>
                </c:pt>
                <c:pt idx="21">
                  <c:v>108257</c:v>
                </c:pt>
                <c:pt idx="22">
                  <c:v>78444</c:v>
                </c:pt>
                <c:pt idx="23">
                  <c:v>49485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59-43BA-9EFD-FD946A1F8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0273440"/>
        <c:axId val="880275360"/>
      </c:lineChart>
      <c:catAx>
        <c:axId val="88027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cap="none" baseline="0"/>
                  <a:t>Hour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275360"/>
        <c:crosses val="autoZero"/>
        <c:auto val="1"/>
        <c:lblAlgn val="ctr"/>
        <c:lblOffset val="100"/>
        <c:noMultiLvlLbl val="0"/>
      </c:catAx>
      <c:valAx>
        <c:axId val="88027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noFill/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273440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3.0809859154929578E-2"/>
                <c:y val="6.0376532120378155E-2"/>
              </c:manualLayout>
            </c:layout>
            <c:tx>
              <c:rich>
                <a:bodyPr rot="0" spcFirstLastPara="1" vertOverflow="ellipsis" wrap="square" anchor="ctr" anchorCtr="1"/>
                <a:lstStyle/>
                <a:p>
                  <a:pPr>
                    <a:defRPr sz="1100" b="1" i="0" u="none" strike="noStrike" kern="1200" cap="none" baseline="0">
                      <a:solidFill>
                        <a:srgbClr val="595959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b="1" cap="none" baseline="0">
                      <a:solidFill>
                        <a:srgbClr val="595959"/>
                      </a:solidFill>
                    </a:rPr>
                    <a:t>Ride count K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>
                  <a:defRPr sz="1100" b="1" i="0" u="none" strike="noStrike" kern="1200" cap="none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6684699733836081"/>
          <c:y val="5.2538510052748261E-2"/>
          <c:w val="0.19400542031717866"/>
          <c:h val="3.41325204495069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cap="none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cap="none" baseline="0"/>
              <a:t>Casuals stay in the saddle longer regardless of hour</a:t>
            </a:r>
          </a:p>
        </c:rich>
      </c:tx>
      <c:layout>
        <c:manualLayout>
          <c:xMode val="edge"/>
          <c:yMode val="edge"/>
          <c:x val="1.6039379320542679E-2"/>
          <c:y val="1.2135922330097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cap="none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278894495582421E-2"/>
          <c:y val="0.1089202214407665"/>
          <c:w val="0.89358260785183541"/>
          <c:h val="0.80373490176592"/>
        </c:manualLayout>
      </c:layout>
      <c:lineChart>
        <c:grouping val="standard"/>
        <c:varyColors val="0"/>
        <c:ser>
          <c:idx val="0"/>
          <c:order val="0"/>
          <c:tx>
            <c:v>casuals</c:v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2.7875586854460094E-2"/>
                  <c:y val="4.045307443365659E-3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6951-4880-99F6-9BB570A98AD7}"/>
                </c:ext>
              </c:extLst>
            </c:dLbl>
            <c:dLbl>
              <c:idx val="10"/>
              <c:layout>
                <c:manualLayout>
                  <c:x val="-0.10416666666666673"/>
                  <c:y val="0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6951-4880-99F6-9BB570A98A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Hourly_Data!$A$2:$A$25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Hourly_Data!$D$2:$D$25</c:f>
              <c:numCache>
                <c:formatCode>h:mm:ss</c:formatCode>
                <c:ptCount val="24"/>
                <c:pt idx="0">
                  <c:v>1.5787037037037037E-2</c:v>
                </c:pt>
                <c:pt idx="1">
                  <c:v>1.579861111111111E-2</c:v>
                </c:pt>
                <c:pt idx="2">
                  <c:v>1.6180555555555556E-2</c:v>
                </c:pt>
                <c:pt idx="3">
                  <c:v>1.9537037037037037E-2</c:v>
                </c:pt>
                <c:pt idx="4">
                  <c:v>1.425925925925926E-2</c:v>
                </c:pt>
                <c:pt idx="5">
                  <c:v>1.1168981481481481E-2</c:v>
                </c:pt>
                <c:pt idx="6">
                  <c:v>1.1423611111111112E-2</c:v>
                </c:pt>
                <c:pt idx="7">
                  <c:v>1.1516203703703704E-2</c:v>
                </c:pt>
                <c:pt idx="8">
                  <c:v>1.2638888888888889E-2</c:v>
                </c:pt>
                <c:pt idx="9">
                  <c:v>1.6527777777777777E-2</c:v>
                </c:pt>
                <c:pt idx="10">
                  <c:v>1.9305555555555555E-2</c:v>
                </c:pt>
                <c:pt idx="11">
                  <c:v>1.9143518518518518E-2</c:v>
                </c:pt>
                <c:pt idx="12">
                  <c:v>1.8391203703703705E-2</c:v>
                </c:pt>
                <c:pt idx="13">
                  <c:v>1.8263888888888889E-2</c:v>
                </c:pt>
                <c:pt idx="14">
                  <c:v>1.8379629629629631E-2</c:v>
                </c:pt>
                <c:pt idx="15">
                  <c:v>1.6770833333333332E-2</c:v>
                </c:pt>
                <c:pt idx="16">
                  <c:v>1.5856481481481482E-2</c:v>
                </c:pt>
                <c:pt idx="17">
                  <c:v>1.5509259259259259E-2</c:v>
                </c:pt>
                <c:pt idx="18">
                  <c:v>1.5347222222222222E-2</c:v>
                </c:pt>
                <c:pt idx="19">
                  <c:v>1.5243055555555555E-2</c:v>
                </c:pt>
                <c:pt idx="20">
                  <c:v>1.4907407407407407E-2</c:v>
                </c:pt>
                <c:pt idx="21">
                  <c:v>1.4456018518518519E-2</c:v>
                </c:pt>
                <c:pt idx="22">
                  <c:v>1.4583333333333334E-2</c:v>
                </c:pt>
                <c:pt idx="23">
                  <c:v>1.5266203703703704E-2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51-4880-99F6-9BB570A98AD7}"/>
            </c:ext>
          </c:extLst>
        </c:ser>
        <c:ser>
          <c:idx val="1"/>
          <c:order val="1"/>
          <c:tx>
            <c:v>members</c:v>
          </c:tx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none"/>
          </c:marker>
          <c:cat>
            <c:numRef>
              <c:f>Hourly_Data!$A$2:$A$25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Hourly_Data!$F$2:$F$25</c:f>
              <c:numCache>
                <c:formatCode>h:mm:ss</c:formatCode>
                <c:ptCount val="24"/>
                <c:pt idx="0">
                  <c:v>8.1250000000000003E-3</c:v>
                </c:pt>
                <c:pt idx="1">
                  <c:v>8.1481481481481474E-3</c:v>
                </c:pt>
                <c:pt idx="2">
                  <c:v>8.3101851851851843E-3</c:v>
                </c:pt>
                <c:pt idx="3">
                  <c:v>9.0277777777777769E-3</c:v>
                </c:pt>
                <c:pt idx="4">
                  <c:v>8.1828703703703699E-3</c:v>
                </c:pt>
                <c:pt idx="5">
                  <c:v>7.6967592592592591E-3</c:v>
                </c:pt>
                <c:pt idx="6">
                  <c:v>7.8125E-3</c:v>
                </c:pt>
                <c:pt idx="7">
                  <c:v>7.789351851851852E-3</c:v>
                </c:pt>
                <c:pt idx="8">
                  <c:v>7.8009259259259256E-3</c:v>
                </c:pt>
                <c:pt idx="9">
                  <c:v>7.7314814814814815E-3</c:v>
                </c:pt>
                <c:pt idx="10">
                  <c:v>8.4143518518518517E-3</c:v>
                </c:pt>
                <c:pt idx="11">
                  <c:v>8.4953703703703701E-3</c:v>
                </c:pt>
                <c:pt idx="12">
                  <c:v>8.1828703703703699E-3</c:v>
                </c:pt>
                <c:pt idx="13">
                  <c:v>8.2754629629629636E-3</c:v>
                </c:pt>
                <c:pt idx="14">
                  <c:v>8.7500000000000008E-3</c:v>
                </c:pt>
                <c:pt idx="15">
                  <c:v>8.726851851851852E-3</c:v>
                </c:pt>
                <c:pt idx="16">
                  <c:v>8.86574074074074E-3</c:v>
                </c:pt>
                <c:pt idx="17">
                  <c:v>9.0277777777777769E-3</c:v>
                </c:pt>
                <c:pt idx="18">
                  <c:v>8.7847222222222215E-3</c:v>
                </c:pt>
                <c:pt idx="19">
                  <c:v>8.6458333333333335E-3</c:v>
                </c:pt>
                <c:pt idx="20">
                  <c:v>8.518518518518519E-3</c:v>
                </c:pt>
                <c:pt idx="21">
                  <c:v>8.3912037037037045E-3</c:v>
                </c:pt>
                <c:pt idx="22">
                  <c:v>8.4953703703703701E-3</c:v>
                </c:pt>
                <c:pt idx="23">
                  <c:v>8.6342592592592599E-3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951-4880-99F6-9BB570A98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0273440"/>
        <c:axId val="880275360"/>
      </c:lineChart>
      <c:catAx>
        <c:axId val="88027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cap="none" baseline="0"/>
                  <a:t>Hour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275360"/>
        <c:crosses val="autoZero"/>
        <c:auto val="1"/>
        <c:lblAlgn val="ctr"/>
        <c:lblOffset val="100"/>
        <c:noMultiLvlLbl val="0"/>
      </c:catAx>
      <c:valAx>
        <c:axId val="880275360"/>
        <c:scaling>
          <c:orientation val="minMax"/>
          <c:max val="2.4305555555555563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1" i="0" u="none" strike="noStrike" kern="1200" cap="none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cap="none" baseline="0">
                    <a:solidFill>
                      <a:srgbClr val="595959"/>
                    </a:solidFill>
                  </a:rPr>
                  <a:t>Avg duration h:m:s</a:t>
                </a:r>
              </a:p>
            </c:rich>
          </c:tx>
          <c:layout>
            <c:manualLayout>
              <c:xMode val="edge"/>
              <c:yMode val="edge"/>
              <c:x val="2.2007042253521125E-2"/>
              <c:y val="5.873961598246821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1" i="0" u="none" strike="noStrike" kern="1200" cap="none" baseline="0">
                  <a:solidFill>
                    <a:srgbClr val="5959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 w="3175" cap="flat" cmpd="sng" algn="ctr">
            <a:noFill/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273440"/>
        <c:crosses val="autoZero"/>
        <c:crossBetween val="between"/>
        <c:majorUnit val="3.4722222222220013E-3"/>
        <c:minorUnit val="1.3888800000000003E-3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7671065764666725"/>
          <c:y val="5.8606471217796802E-2"/>
          <c:w val="0.19188384902591402"/>
          <c:h val="3.41325204495069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cap="none" baseline="0"/>
              <a:t>Members lead in trip volume for all trips less than 30 minutes</a:t>
            </a:r>
          </a:p>
        </c:rich>
      </c:tx>
      <c:layout>
        <c:manualLayout>
          <c:xMode val="edge"/>
          <c:yMode val="edge"/>
          <c:x val="2.6804577464788745E-2"/>
          <c:y val="1.2135922330097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572908580089467E-2"/>
          <c:y val="0.1089202214407665"/>
          <c:w val="0.9122885937673284"/>
          <c:h val="0.80572729531381393"/>
        </c:manualLayout>
      </c:layout>
      <c:barChart>
        <c:barDir val="col"/>
        <c:grouping val="clustered"/>
        <c:varyColors val="0"/>
        <c:ser>
          <c:idx val="0"/>
          <c:order val="0"/>
          <c:tx>
            <c:v>casuals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TimeBuckets_Data!$A$2:$A$7</c:f>
              <c:strCache>
                <c:ptCount val="6"/>
                <c:pt idx="0">
                  <c:v>0-5 min</c:v>
                </c:pt>
                <c:pt idx="1">
                  <c:v>5-10 min</c:v>
                </c:pt>
                <c:pt idx="2">
                  <c:v>10-15 min</c:v>
                </c:pt>
                <c:pt idx="3">
                  <c:v>15-30 min</c:v>
                </c:pt>
                <c:pt idx="4">
                  <c:v>30-60 min</c:v>
                </c:pt>
                <c:pt idx="5">
                  <c:v>60+ min</c:v>
                </c:pt>
              </c:strCache>
            </c:strRef>
          </c:cat>
          <c:val>
            <c:numRef>
              <c:f>TimeBuckets_Data!$B$2:$B$7</c:f>
              <c:numCache>
                <c:formatCode>General</c:formatCode>
                <c:ptCount val="6"/>
                <c:pt idx="0">
                  <c:v>336492</c:v>
                </c:pt>
                <c:pt idx="1">
                  <c:v>523426</c:v>
                </c:pt>
                <c:pt idx="2">
                  <c:v>356545</c:v>
                </c:pt>
                <c:pt idx="3">
                  <c:v>460428</c:v>
                </c:pt>
                <c:pt idx="4">
                  <c:v>211950</c:v>
                </c:pt>
                <c:pt idx="5">
                  <c:v>103263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8-42D1-9D4C-AF45CD3E2165}"/>
            </c:ext>
          </c:extLst>
        </c:ser>
        <c:ser>
          <c:idx val="1"/>
          <c:order val="1"/>
          <c:tx>
            <c:v>members</c:v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TimeBuckets_Data!$A$2:$A$7</c:f>
              <c:strCache>
                <c:ptCount val="6"/>
                <c:pt idx="0">
                  <c:v>0-5 min</c:v>
                </c:pt>
                <c:pt idx="1">
                  <c:v>5-10 min</c:v>
                </c:pt>
                <c:pt idx="2">
                  <c:v>10-15 min</c:v>
                </c:pt>
                <c:pt idx="3">
                  <c:v>15-30 min</c:v>
                </c:pt>
                <c:pt idx="4">
                  <c:v>30-60 min</c:v>
                </c:pt>
                <c:pt idx="5">
                  <c:v>60+ min</c:v>
                </c:pt>
              </c:strCache>
            </c:strRef>
          </c:cat>
          <c:val>
            <c:numRef>
              <c:f>TimeBuckets_Data!$C$2:$C$7</c:f>
              <c:numCache>
                <c:formatCode>General</c:formatCode>
                <c:ptCount val="6"/>
                <c:pt idx="0">
                  <c:v>871478</c:v>
                </c:pt>
                <c:pt idx="1">
                  <c:v>1160601</c:v>
                </c:pt>
                <c:pt idx="2">
                  <c:v>652001</c:v>
                </c:pt>
                <c:pt idx="3">
                  <c:v>638772</c:v>
                </c:pt>
                <c:pt idx="4">
                  <c:v>164365</c:v>
                </c:pt>
                <c:pt idx="5">
                  <c:v>21984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E8-42D1-9D4C-AF45CD3E2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068555152"/>
        <c:axId val="1068556592"/>
      </c:barChart>
      <c:catAx>
        <c:axId val="1068555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Duration Bucket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56592"/>
        <c:crosses val="autoZero"/>
        <c:auto val="1"/>
        <c:lblAlgn val="ctr"/>
        <c:lblOffset val="100"/>
        <c:noMultiLvlLbl val="0"/>
      </c:catAx>
      <c:valAx>
        <c:axId val="106855659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Ride count M</a:t>
                </a:r>
              </a:p>
            </c:rich>
          </c:tx>
          <c:layout>
            <c:manualLayout>
              <c:xMode val="edge"/>
              <c:yMode val="edge"/>
              <c:x val="3.0809859154929578E-2"/>
              <c:y val="5.872448589557373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55152"/>
        <c:crosses val="autoZero"/>
        <c:crossBetween val="between"/>
        <c:majorUnit val="100000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7955610411152765"/>
          <c:y val="5.8607519464344046E-2"/>
          <c:w val="0.1920712265720306"/>
          <c:h val="3.41325204495069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cap="none" baseline="0"/>
              <a:t>Casuals dominate 30+ minutes</a:t>
            </a:r>
          </a:p>
        </c:rich>
      </c:tx>
      <c:layout>
        <c:manualLayout>
          <c:xMode val="edge"/>
          <c:yMode val="edge"/>
          <c:x val="3.4503345532512664E-2"/>
          <c:y val="1.2135922330097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859057890650987E-2"/>
          <c:y val="0.10689756771908365"/>
          <c:w val="0.91200244445676693"/>
          <c:h val="0.81786321764391101"/>
        </c:manualLayout>
      </c:layout>
      <c:barChart>
        <c:barDir val="col"/>
        <c:grouping val="clustered"/>
        <c:varyColors val="0"/>
        <c:ser>
          <c:idx val="0"/>
          <c:order val="0"/>
          <c:tx>
            <c:v>casuals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TimeBuckets_Data!$A$2:$A$7</c:f>
              <c:strCache>
                <c:ptCount val="6"/>
                <c:pt idx="0">
                  <c:v>0-5 min</c:v>
                </c:pt>
                <c:pt idx="1">
                  <c:v>5-10 min</c:v>
                </c:pt>
                <c:pt idx="2">
                  <c:v>10-15 min</c:v>
                </c:pt>
                <c:pt idx="3">
                  <c:v>15-30 min</c:v>
                </c:pt>
                <c:pt idx="4">
                  <c:v>30-60 min</c:v>
                </c:pt>
                <c:pt idx="5">
                  <c:v>60+ min</c:v>
                </c:pt>
              </c:strCache>
            </c:strRef>
          </c:cat>
          <c:val>
            <c:numRef>
              <c:f>TimeBuckets_Data!$D$2:$D$7</c:f>
              <c:numCache>
                <c:formatCode>General</c:formatCode>
                <c:ptCount val="6"/>
                <c:pt idx="0">
                  <c:v>16.89</c:v>
                </c:pt>
                <c:pt idx="1">
                  <c:v>26.28</c:v>
                </c:pt>
                <c:pt idx="2">
                  <c:v>17.899999999999999</c:v>
                </c:pt>
                <c:pt idx="3">
                  <c:v>23.11</c:v>
                </c:pt>
                <c:pt idx="4">
                  <c:v>10.64</c:v>
                </c:pt>
                <c:pt idx="5">
                  <c:v>5.18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0-4332-AE73-0A3C0156E82D}"/>
            </c:ext>
          </c:extLst>
        </c:ser>
        <c:ser>
          <c:idx val="1"/>
          <c:order val="1"/>
          <c:tx>
            <c:v>members</c:v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TimeBuckets_Data!$A$2:$A$7</c:f>
              <c:strCache>
                <c:ptCount val="6"/>
                <c:pt idx="0">
                  <c:v>0-5 min</c:v>
                </c:pt>
                <c:pt idx="1">
                  <c:v>5-10 min</c:v>
                </c:pt>
                <c:pt idx="2">
                  <c:v>10-15 min</c:v>
                </c:pt>
                <c:pt idx="3">
                  <c:v>15-30 min</c:v>
                </c:pt>
                <c:pt idx="4">
                  <c:v>30-60 min</c:v>
                </c:pt>
                <c:pt idx="5">
                  <c:v>60+ min</c:v>
                </c:pt>
              </c:strCache>
            </c:strRef>
          </c:cat>
          <c:val>
            <c:numRef>
              <c:f>TimeBuckets_Data!$E$2:$E$7</c:f>
              <c:numCache>
                <c:formatCode>General</c:formatCode>
                <c:ptCount val="6"/>
                <c:pt idx="0">
                  <c:v>24.83</c:v>
                </c:pt>
                <c:pt idx="1">
                  <c:v>33.07</c:v>
                </c:pt>
                <c:pt idx="2">
                  <c:v>18.579999999999998</c:v>
                </c:pt>
                <c:pt idx="3">
                  <c:v>18.2</c:v>
                </c:pt>
                <c:pt idx="4">
                  <c:v>4.68</c:v>
                </c:pt>
                <c:pt idx="5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E0-4332-AE73-0A3C0156E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757162480"/>
        <c:axId val="757167280"/>
      </c:barChart>
      <c:catAx>
        <c:axId val="757162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Duration Bucket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67280"/>
        <c:crosses val="autoZero"/>
        <c:auto val="1"/>
        <c:lblAlgn val="ctr"/>
        <c:lblOffset val="100"/>
        <c:noMultiLvlLbl val="0"/>
      </c:catAx>
      <c:valAx>
        <c:axId val="75716728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 algn="l"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Ride count %</a:t>
                </a:r>
              </a:p>
            </c:rich>
          </c:tx>
          <c:layout>
            <c:manualLayout>
              <c:xMode val="edge"/>
              <c:yMode val="edge"/>
              <c:x val="3.5211267605633804E-2"/>
              <c:y val="6.276979333893942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algn="l"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6248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8248551347454809"/>
          <c:y val="6.0629124939479653E-2"/>
          <c:w val="0.19940690732320435"/>
          <c:h val="3.41325204495069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cap="none" baseline="0"/>
              <a:t>Members dominate the weekdays, casuals prefer weekends</a:t>
            </a:r>
          </a:p>
        </c:rich>
      </c:tx>
      <c:layout>
        <c:manualLayout>
          <c:xMode val="edge"/>
          <c:yMode val="edge"/>
          <c:x val="3.1715786847066649E-2"/>
          <c:y val="1.2135922330097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549198735721415E-2"/>
          <c:y val="0.10487491399740081"/>
          <c:w val="0.90531230361169646"/>
          <c:h val="0.84820302346915377"/>
        </c:manualLayout>
      </c:layout>
      <c:barChart>
        <c:barDir val="col"/>
        <c:grouping val="clustered"/>
        <c:varyColors val="0"/>
        <c:ser>
          <c:idx val="0"/>
          <c:order val="0"/>
          <c:tx>
            <c:v>casuals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DayOfWeek_Data!$A$2:$A$8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DayOfWeek_Data!$B$2:$B$8</c:f>
              <c:numCache>
                <c:formatCode>General</c:formatCode>
                <c:ptCount val="7"/>
                <c:pt idx="0">
                  <c:v>228639</c:v>
                </c:pt>
                <c:pt idx="1">
                  <c:v>220926</c:v>
                </c:pt>
                <c:pt idx="2">
                  <c:v>223692</c:v>
                </c:pt>
                <c:pt idx="3">
                  <c:v>252143</c:v>
                </c:pt>
                <c:pt idx="4">
                  <c:v>310975</c:v>
                </c:pt>
                <c:pt idx="5">
                  <c:v>409488</c:v>
                </c:pt>
                <c:pt idx="6">
                  <c:v>346241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A-4AF7-8175-E22489B19BFF}"/>
            </c:ext>
          </c:extLst>
        </c:ser>
        <c:ser>
          <c:idx val="1"/>
          <c:order val="1"/>
          <c:tx>
            <c:v>members</c:v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DayOfWeek_Data!$A$2:$A$8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DayOfWeek_Data!$C$2:$C$8</c:f>
              <c:numCache>
                <c:formatCode>General</c:formatCode>
                <c:ptCount val="7"/>
                <c:pt idx="0">
                  <c:v>505814</c:v>
                </c:pt>
                <c:pt idx="1">
                  <c:v>551807</c:v>
                </c:pt>
                <c:pt idx="2">
                  <c:v>542808</c:v>
                </c:pt>
                <c:pt idx="3">
                  <c:v>554736</c:v>
                </c:pt>
                <c:pt idx="4">
                  <c:v>513116</c:v>
                </c:pt>
                <c:pt idx="5">
                  <c:v>447104</c:v>
                </c:pt>
                <c:pt idx="6">
                  <c:v>393816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2A-4AF7-8175-E22489B19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66226784"/>
        <c:axId val="266225824"/>
      </c:barChart>
      <c:catAx>
        <c:axId val="26622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225824"/>
        <c:crosses val="autoZero"/>
        <c:auto val="1"/>
        <c:lblAlgn val="ctr"/>
        <c:lblOffset val="100"/>
        <c:noMultiLvlLbl val="0"/>
      </c:catAx>
      <c:valAx>
        <c:axId val="266225824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Ride count K</a:t>
                </a:r>
              </a:p>
            </c:rich>
          </c:tx>
          <c:layout>
            <c:manualLayout>
              <c:xMode val="edge"/>
              <c:yMode val="edge"/>
              <c:x val="3.5211267605633804E-2"/>
              <c:y val="5.872448589557373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226784"/>
        <c:crosses val="autoZero"/>
        <c:crossBetween val="between"/>
        <c:majorUnit val="50000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7808410502384384"/>
          <c:y val="6.2651778661162505E-2"/>
          <c:w val="0.20087404347343907"/>
          <c:h val="3.41325204495069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cap="none" baseline="0"/>
              <a:t>Casuals ride 1.8x longer on weekdays, 2x on weekends</a:t>
            </a:r>
          </a:p>
        </c:rich>
      </c:tx>
      <c:layout>
        <c:manualLayout>
          <c:xMode val="edge"/>
          <c:yMode val="edge"/>
          <c:x val="2.9078638497652583E-2"/>
          <c:y val="1.2135922330097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54884754722561"/>
          <c:y val="0.1170108363274979"/>
          <c:w val="0.87891124634948792"/>
          <c:h val="0.81988587136559388"/>
        </c:manualLayout>
      </c:layout>
      <c:barChart>
        <c:barDir val="col"/>
        <c:grouping val="clustered"/>
        <c:varyColors val="0"/>
        <c:ser>
          <c:idx val="0"/>
          <c:order val="0"/>
          <c:tx>
            <c:v>casuals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DayOfWeek_Data!$A$2:$A$8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DayOfWeek_Data!$D$2:$D$8</c:f>
              <c:numCache>
                <c:formatCode>h:mm:ss</c:formatCode>
                <c:ptCount val="7"/>
                <c:pt idx="0">
                  <c:v>1.5844907407407408E-2</c:v>
                </c:pt>
                <c:pt idx="1">
                  <c:v>1.4143518518518519E-2</c:v>
                </c:pt>
                <c:pt idx="2">
                  <c:v>1.3622685185185186E-2</c:v>
                </c:pt>
                <c:pt idx="3">
                  <c:v>1.4270833333333333E-2</c:v>
                </c:pt>
                <c:pt idx="4">
                  <c:v>1.59375E-2</c:v>
                </c:pt>
                <c:pt idx="5">
                  <c:v>1.8310185185185186E-2</c:v>
                </c:pt>
                <c:pt idx="6">
                  <c:v>1.8692129629629628E-2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A-4738-BCAB-CFD37DD21DEE}"/>
            </c:ext>
          </c:extLst>
        </c:ser>
        <c:ser>
          <c:idx val="1"/>
          <c:order val="1"/>
          <c:tx>
            <c:v>members</c:v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DayOfWeek_Data!$A$2:$A$8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DayOfWeek_Data!$F$2:$F$8</c:f>
              <c:numCache>
                <c:formatCode>h:mm:ss</c:formatCode>
                <c:ptCount val="7"/>
                <c:pt idx="0">
                  <c:v>8.1018518518518514E-3</c:v>
                </c:pt>
                <c:pt idx="1">
                  <c:v>8.1481481481481474E-3</c:v>
                </c:pt>
                <c:pt idx="2">
                  <c:v>8.0902777777777778E-3</c:v>
                </c:pt>
                <c:pt idx="3">
                  <c:v>8.1712962962962963E-3</c:v>
                </c:pt>
                <c:pt idx="4">
                  <c:v>8.4143518518518517E-3</c:v>
                </c:pt>
                <c:pt idx="5">
                  <c:v>9.2592592592592587E-3</c:v>
                </c:pt>
                <c:pt idx="6">
                  <c:v>9.3981481481481485E-3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5A-4738-BCAB-CFD37DD21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66226784"/>
        <c:axId val="266225824"/>
      </c:barChart>
      <c:catAx>
        <c:axId val="26622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225824"/>
        <c:crosses val="autoZero"/>
        <c:auto val="1"/>
        <c:lblAlgn val="ctr"/>
        <c:lblOffset val="100"/>
        <c:noMultiLvlLbl val="0"/>
      </c:catAx>
      <c:valAx>
        <c:axId val="266225824"/>
        <c:scaling>
          <c:orientation val="minMax"/>
          <c:max val="2.0833333333000002E-2"/>
          <c:min val="0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duration h:m:s</a:t>
                </a:r>
              </a:p>
            </c:rich>
          </c:tx>
          <c:layout>
            <c:manualLayout>
              <c:xMode val="edge"/>
              <c:yMode val="edge"/>
              <c:x val="3.227699530516432E-2"/>
              <c:y val="6.276979333893943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226784"/>
        <c:crosses val="autoZero"/>
        <c:crossBetween val="between"/>
        <c:majorUnit val="1.3888888888000002E-3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6781415197220082"/>
          <c:y val="6.0629124939479653E-2"/>
          <c:w val="0.20380831577390854"/>
          <c:h val="3.41325204495069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cap="none" baseline="0"/>
              <a:t>93% of casuals, 75% of members vanish in winter</a:t>
            </a:r>
          </a:p>
        </c:rich>
      </c:tx>
      <c:layout>
        <c:manualLayout>
          <c:xMode val="edge"/>
          <c:yMode val="edge"/>
          <c:x val="2.8513214418922E-2"/>
          <c:y val="1.21019114349722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987954049952873E-2"/>
          <c:y val="0.10696565058255933"/>
          <c:w val="0.89811776428895296"/>
          <c:h val="0.80568951831533775"/>
        </c:manualLayout>
      </c:layout>
      <c:barChart>
        <c:barDir val="col"/>
        <c:grouping val="clustered"/>
        <c:varyColors val="0"/>
        <c:ser>
          <c:idx val="0"/>
          <c:order val="0"/>
          <c:tx>
            <c:v>casuals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Monthly_Data!$A$2:$A$13</c:f>
              <c:strCache>
                <c:ptCount val="12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</c:strCache>
            </c:strRef>
          </c:cat>
          <c:val>
            <c:numRef>
              <c:f>Monthly_Data!$B$2:$B$13</c:f>
              <c:numCache>
                <c:formatCode>General</c:formatCode>
                <c:ptCount val="12"/>
                <c:pt idx="0">
                  <c:v>261326</c:v>
                </c:pt>
                <c:pt idx="1">
                  <c:v>216442</c:v>
                </c:pt>
                <c:pt idx="2">
                  <c:v>93035</c:v>
                </c:pt>
                <c:pt idx="3">
                  <c:v>38405</c:v>
                </c:pt>
                <c:pt idx="4">
                  <c:v>24122</c:v>
                </c:pt>
                <c:pt idx="5">
                  <c:v>27752</c:v>
                </c:pt>
                <c:pt idx="6">
                  <c:v>85846</c:v>
                </c:pt>
                <c:pt idx="7">
                  <c:v>109224</c:v>
                </c:pt>
                <c:pt idx="8">
                  <c:v>182757</c:v>
                </c:pt>
                <c:pt idx="9">
                  <c:v>291987</c:v>
                </c:pt>
                <c:pt idx="10">
                  <c:v>323326</c:v>
                </c:pt>
                <c:pt idx="11">
                  <c:v>337618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A-4AF1-B3F3-E95C672C796B}"/>
            </c:ext>
          </c:extLst>
        </c:ser>
        <c:ser>
          <c:idx val="1"/>
          <c:order val="1"/>
          <c:tx>
            <c:v>members</c:v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Monthly_Data!$A$2:$A$13</c:f>
              <c:strCache>
                <c:ptCount val="12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</c:strCache>
            </c:strRef>
          </c:cat>
          <c:val>
            <c:numRef>
              <c:f>Monthly_Data!$C$2:$C$13</c:f>
              <c:numCache>
                <c:formatCode>General</c:formatCode>
                <c:ptCount val="12"/>
                <c:pt idx="0">
                  <c:v>415255</c:v>
                </c:pt>
                <c:pt idx="1">
                  <c:v>399820</c:v>
                </c:pt>
                <c:pt idx="2">
                  <c:v>241951</c:v>
                </c:pt>
                <c:pt idx="3">
                  <c:v>140003</c:v>
                </c:pt>
                <c:pt idx="4">
                  <c:v>114526</c:v>
                </c:pt>
                <c:pt idx="5">
                  <c:v>124139</c:v>
                </c:pt>
                <c:pt idx="6">
                  <c:v>212245</c:v>
                </c:pt>
                <c:pt idx="7">
                  <c:v>262129</c:v>
                </c:pt>
                <c:pt idx="8">
                  <c:v>319815</c:v>
                </c:pt>
                <c:pt idx="9">
                  <c:v>386771</c:v>
                </c:pt>
                <c:pt idx="10">
                  <c:v>440076</c:v>
                </c:pt>
                <c:pt idx="11">
                  <c:v>452373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EA-4AF1-B3F3-E95C672C7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757174960"/>
        <c:axId val="757175440"/>
      </c:barChart>
      <c:catAx>
        <c:axId val="75717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75440"/>
        <c:crosses val="autoZero"/>
        <c:auto val="1"/>
        <c:lblAlgn val="ctr"/>
        <c:lblOffset val="100"/>
        <c:noMultiLvlLbl val="0"/>
      </c:catAx>
      <c:valAx>
        <c:axId val="75717544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Ride count K</a:t>
                </a:r>
              </a:p>
            </c:rich>
          </c:tx>
          <c:layout>
            <c:manualLayout>
              <c:xMode val="edge"/>
              <c:yMode val="edge"/>
              <c:x val="3.1029403957925469E-2"/>
              <c:y val="5.677368758582113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74960"/>
        <c:crosses val="autoZero"/>
        <c:crossBetween val="between"/>
        <c:majorUnit val="25000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818771155445543"/>
          <c:y val="5.6425241474425736E-2"/>
          <c:w val="0.1877818763112096"/>
          <c:h val="3.40368641374624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>
                <a:effectLst/>
              </a:rPr>
              <a:t>Casuals dominate average ride duration throughout the year</a:t>
            </a:r>
          </a:p>
        </c:rich>
      </c:tx>
      <c:layout>
        <c:manualLayout>
          <c:xMode val="edge"/>
          <c:yMode val="edge"/>
          <c:x val="2.7343721119367139E-2"/>
          <c:y val="1.2135922330097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08171139699086E-2"/>
          <c:y val="0.1210561437708636"/>
          <c:w val="0.88477979095042691"/>
          <c:h val="0.79159897943582291"/>
        </c:manualLayout>
      </c:layout>
      <c:barChart>
        <c:barDir val="col"/>
        <c:grouping val="clustered"/>
        <c:varyColors val="0"/>
        <c:ser>
          <c:idx val="0"/>
          <c:order val="0"/>
          <c:tx>
            <c:v>casuals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Monthly_Data!$A$2:$A$13</c:f>
              <c:strCache>
                <c:ptCount val="12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</c:strCache>
            </c:strRef>
          </c:cat>
          <c:val>
            <c:numRef>
              <c:f>Monthly_Data!$F$2:$F$13</c:f>
              <c:numCache>
                <c:formatCode>h:mm:ss</c:formatCode>
                <c:ptCount val="12"/>
                <c:pt idx="0">
                  <c:v>1.6979166666666667E-2</c:v>
                </c:pt>
                <c:pt idx="1">
                  <c:v>1.6157407407407409E-2</c:v>
                </c:pt>
                <c:pt idx="2">
                  <c:v>1.3483796296296296E-2</c:v>
                </c:pt>
                <c:pt idx="3">
                  <c:v>1.2222222222222223E-2</c:v>
                </c:pt>
                <c:pt idx="4">
                  <c:v>1.0150462962962964E-2</c:v>
                </c:pt>
                <c:pt idx="5">
                  <c:v>1.0173611111111111E-2</c:v>
                </c:pt>
                <c:pt idx="6">
                  <c:v>1.443287037037037E-2</c:v>
                </c:pt>
                <c:pt idx="7">
                  <c:v>1.5046296296296295E-2</c:v>
                </c:pt>
                <c:pt idx="8">
                  <c:v>1.6805555555555556E-2</c:v>
                </c:pt>
                <c:pt idx="9">
                  <c:v>1.7627314814814814E-2</c:v>
                </c:pt>
                <c:pt idx="10">
                  <c:v>1.6944444444444446E-2</c:v>
                </c:pt>
                <c:pt idx="11">
                  <c:v>1.6238425925925927E-2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2-4037-AE86-94332FAC1CD6}"/>
            </c:ext>
          </c:extLst>
        </c:ser>
        <c:ser>
          <c:idx val="1"/>
          <c:order val="1"/>
          <c:tx>
            <c:v>members</c:v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Monthly_Data!$A$2:$A$13</c:f>
              <c:strCache>
                <c:ptCount val="12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</c:strCache>
            </c:strRef>
          </c:cat>
          <c:val>
            <c:numRef>
              <c:f>Monthly_Data!$G$2:$G$13</c:f>
              <c:numCache>
                <c:formatCode>h:mm:ss</c:formatCode>
                <c:ptCount val="12"/>
                <c:pt idx="0">
                  <c:v>8.86574074074074E-3</c:v>
                </c:pt>
                <c:pt idx="1">
                  <c:v>8.3217592592592596E-3</c:v>
                </c:pt>
                <c:pt idx="2">
                  <c:v>7.7083333333333335E-3</c:v>
                </c:pt>
                <c:pt idx="3">
                  <c:v>7.4652777777777781E-3</c:v>
                </c:pt>
                <c:pt idx="4">
                  <c:v>6.9907407407407409E-3</c:v>
                </c:pt>
                <c:pt idx="5">
                  <c:v>6.9791666666666665E-3</c:v>
                </c:pt>
                <c:pt idx="6">
                  <c:v>7.8009259259259256E-3</c:v>
                </c:pt>
                <c:pt idx="7">
                  <c:v>7.8703703703703696E-3</c:v>
                </c:pt>
                <c:pt idx="8">
                  <c:v>8.4259259259259253E-3</c:v>
                </c:pt>
                <c:pt idx="9">
                  <c:v>8.9930555555555562E-3</c:v>
                </c:pt>
                <c:pt idx="10">
                  <c:v>9.2708333333333341E-3</c:v>
                </c:pt>
                <c:pt idx="11">
                  <c:v>9.0856481481481483E-3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82-4037-AE86-94332FAC1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757174960"/>
        <c:axId val="757175440"/>
      </c:barChart>
      <c:catAx>
        <c:axId val="75717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75440"/>
        <c:crosses val="autoZero"/>
        <c:auto val="1"/>
        <c:lblAlgn val="ctr"/>
        <c:lblOffset val="100"/>
        <c:noMultiLvlLbl val="0"/>
      </c:catAx>
      <c:valAx>
        <c:axId val="757175440"/>
        <c:scaling>
          <c:orientation val="minMax"/>
          <c:max val="1.9444444444444004E-2"/>
          <c:min val="0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duration h:m:s</a:t>
                </a:r>
              </a:p>
            </c:rich>
          </c:tx>
          <c:layout>
            <c:manualLayout>
              <c:xMode val="edge"/>
              <c:yMode val="edge"/>
              <c:x val="2.9342723004694836E-2"/>
              <c:y val="6.076226970415105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74960"/>
        <c:crosses val="autoZero"/>
        <c:crossBetween val="between"/>
        <c:majorUnit val="1.3888888888000002E-3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0670157757569039"/>
          <c:y val="5.4561163774431105E-2"/>
          <c:w val="0.17642450833610587"/>
          <c:h val="3.9028457304487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C15CF1A-6471-4138-94E9-7D4D8D5D0EAA}">
  <sheetPr/>
  <sheetViews>
    <sheetView zoomScale="10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6063297-3628-4DE8-8EA3-0FB8907E5FBC}">
  <sheetPr/>
  <sheetViews>
    <sheetView zoomScale="10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E52529F-84EF-4C0E-ABE0-607A5CE1F039}">
  <sheetPr/>
  <sheetViews>
    <sheetView zoomScale="109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C32EBD5-4BB2-4206-9487-FDA178647AA7}">
  <sheetPr/>
  <sheetViews>
    <sheetView zoomScale="125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25AFAAA-5808-45D1-91F4-F13AD508A195}">
  <sheetPr/>
  <sheetViews>
    <sheetView zoomScale="109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435AEA1-9277-496E-800F-8E45C0C51383}">
  <sheetPr/>
  <sheetViews>
    <sheetView zoomScale="109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7B11CFF-FEC0-486D-BE23-2AEA64BC61CA}">
  <sheetPr/>
  <sheetViews>
    <sheetView zoomScale="109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A169D36-DAFA-4CFE-868F-3FA6A4B9F72F}">
  <sheetPr/>
  <sheetViews>
    <sheetView zoomScale="109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A02936-F1D5-4572-86C0-D9A8D5A6ACDC}">
  <sheetPr/>
  <sheetViews>
    <sheetView zoomScale="109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457463-C698-4612-86C8-1C5451298898}">
  <sheetPr/>
  <sheetViews>
    <sheetView zoomScale="12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642" cy="62777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DCE2CA-F3CA-FFD7-8DCB-29E211CCE4B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642" cy="62777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67B94C-D652-D2E8-073E-22C3791838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642" cy="62777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9CEC0F-A4A6-D54D-287B-6AFA93C4371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2AB7D9-46E8-8039-3768-8B0F0087C84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4642" cy="62777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CE6412-B38D-5D88-E52C-EAD4101D9A7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4642" cy="62777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A831CA-EEF4-89F8-ECB3-D56C679FBBE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20AD30-59D7-97A7-A59E-4742CEA6DD7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54642" cy="62777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CBFF3F-13A6-5D1C-6C78-BF0E46EA43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51631" cy="627184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4391B5-D5B8-986E-D02D-35BD6EF2BF2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4F442-CB71-9846-15D0-B478A5569C8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F34A-A09B-4EA0-99F9-87EB342885A4}">
  <dimension ref="A1:I60"/>
  <sheetViews>
    <sheetView workbookViewId="0">
      <selection activeCell="D8" sqref="D8"/>
    </sheetView>
  </sheetViews>
  <sheetFormatPr defaultRowHeight="14.4" x14ac:dyDescent="0.3"/>
  <cols>
    <col min="1" max="1" width="26.88671875" bestFit="1" customWidth="1"/>
    <col min="2" max="2" width="11.77734375" bestFit="1" customWidth="1"/>
    <col min="3" max="3" width="14.109375" bestFit="1" customWidth="1"/>
    <col min="4" max="4" width="17.5546875" bestFit="1" customWidth="1"/>
    <col min="5" max="5" width="22.44140625" bestFit="1" customWidth="1"/>
    <col min="6" max="6" width="20.5546875" bestFit="1" customWidth="1"/>
    <col min="7" max="7" width="24.33203125" bestFit="1" customWidth="1"/>
  </cols>
  <sheetData>
    <row r="1" spans="1:9" s="5" customFormat="1" x14ac:dyDescent="0.3">
      <c r="A1" s="2" t="s">
        <v>1</v>
      </c>
      <c r="B1" s="2" t="s">
        <v>101</v>
      </c>
      <c r="C1" s="2" t="s">
        <v>102</v>
      </c>
      <c r="D1" s="2" t="s">
        <v>103</v>
      </c>
      <c r="E1" s="2" t="s">
        <v>41</v>
      </c>
      <c r="F1" s="2" t="s">
        <v>104</v>
      </c>
      <c r="G1" s="2" t="s">
        <v>42</v>
      </c>
      <c r="I1" s="60"/>
    </row>
    <row r="2" spans="1:9" x14ac:dyDescent="0.3">
      <c r="A2" s="3" t="s">
        <v>110</v>
      </c>
      <c r="B2" s="3">
        <v>761949</v>
      </c>
      <c r="C2" s="3">
        <v>1390323</v>
      </c>
      <c r="D2" s="10">
        <v>2.6516203703703705E-2</v>
      </c>
      <c r="E2" s="3">
        <f>HOUR(D2)*3600+MINUTE(D2)*60+SECOND(D2)</f>
        <v>2291</v>
      </c>
      <c r="F2" s="10">
        <v>9.6990740740740735E-3</v>
      </c>
      <c r="G2" s="7">
        <f>HOUR(F2)*3600+MINUTE(F2)*60+SECOND(F2)</f>
        <v>838</v>
      </c>
    </row>
    <row r="3" spans="1:9" x14ac:dyDescent="0.3">
      <c r="A3" s="3" t="s">
        <v>111</v>
      </c>
      <c r="B3" s="3">
        <v>1230155</v>
      </c>
      <c r="C3" s="3">
        <v>2118878</v>
      </c>
      <c r="D3" s="10">
        <v>9.8495370370370369E-3</v>
      </c>
      <c r="E3" s="3">
        <f>HOUR(D3)*3600+MINUTE(D3)*60+SECOND(D3)</f>
        <v>851</v>
      </c>
      <c r="F3" s="10">
        <v>7.6388888888888886E-3</v>
      </c>
      <c r="G3" s="7">
        <f>HOUR(F3)*3600+MINUTE(F3)*60+SECOND(F3)</f>
        <v>660</v>
      </c>
    </row>
    <row r="5" spans="1:9" x14ac:dyDescent="0.3">
      <c r="D5" s="3">
        <f>SUM(B2:C3)</f>
        <v>5501305</v>
      </c>
    </row>
    <row r="6" spans="1:9" x14ac:dyDescent="0.3">
      <c r="A6" s="16" t="s">
        <v>164</v>
      </c>
      <c r="B6" s="6"/>
      <c r="C6" s="6"/>
      <c r="D6" s="3"/>
      <c r="E6" s="6"/>
    </row>
    <row r="7" spans="1:9" x14ac:dyDescent="0.3">
      <c r="A7" s="16" t="s">
        <v>51</v>
      </c>
      <c r="B7" s="55" t="s">
        <v>47</v>
      </c>
      <c r="C7" s="56" t="s">
        <v>48</v>
      </c>
      <c r="D7" s="2" t="s">
        <v>95</v>
      </c>
      <c r="E7" s="1" t="s">
        <v>54</v>
      </c>
      <c r="I7" s="5"/>
    </row>
    <row r="8" spans="1:9" x14ac:dyDescent="0.3">
      <c r="A8" s="25" t="s">
        <v>49</v>
      </c>
      <c r="B8" s="3">
        <f>SUM(B2:B3)</f>
        <v>1992104</v>
      </c>
      <c r="C8" s="3">
        <f>SUM(C2:C3)</f>
        <v>3509201</v>
      </c>
      <c r="D8" s="12">
        <f>C8/B8</f>
        <v>1.761555119612229</v>
      </c>
      <c r="E8" t="s">
        <v>106</v>
      </c>
      <c r="I8" s="15"/>
    </row>
    <row r="9" spans="1:9" x14ac:dyDescent="0.3">
      <c r="A9" s="25" t="s">
        <v>108</v>
      </c>
      <c r="B9" s="12">
        <f>B3/B8*100</f>
        <v>61.751545100055019</v>
      </c>
      <c r="C9" s="12">
        <f>C3/C8*100</f>
        <v>60.380639353516649</v>
      </c>
      <c r="D9" s="3"/>
      <c r="E9" t="s">
        <v>109</v>
      </c>
      <c r="I9" s="15"/>
    </row>
    <row r="10" spans="1:9" x14ac:dyDescent="0.3">
      <c r="A10" s="25" t="s">
        <v>107</v>
      </c>
      <c r="B10" s="12">
        <f>B2/B8*100</f>
        <v>38.248454899944981</v>
      </c>
      <c r="C10" s="12">
        <f>C2/C8*100</f>
        <v>39.619360646483344</v>
      </c>
      <c r="D10" s="3"/>
    </row>
    <row r="11" spans="1:9" x14ac:dyDescent="0.3">
      <c r="A11" s="44" t="s">
        <v>165</v>
      </c>
      <c r="D11" s="3"/>
      <c r="I11" s="18"/>
    </row>
    <row r="12" spans="1:9" x14ac:dyDescent="0.3">
      <c r="A12" s="25" t="s">
        <v>112</v>
      </c>
      <c r="B12" s="10">
        <f>D2-D3</f>
        <v>1.666666666666667E-2</v>
      </c>
      <c r="C12" s="10">
        <f>F2-F3</f>
        <v>2.0601851851851849E-3</v>
      </c>
      <c r="D12" s="3"/>
      <c r="I12" s="18"/>
    </row>
    <row r="13" spans="1:9" x14ac:dyDescent="0.3">
      <c r="A13" s="25" t="s">
        <v>113</v>
      </c>
      <c r="B13" s="12">
        <f>E2/E3</f>
        <v>2.6921269095182137</v>
      </c>
      <c r="C13" s="12">
        <f>G2/G3</f>
        <v>1.2696969696969698</v>
      </c>
      <c r="D13" s="3"/>
    </row>
    <row r="14" spans="1:9" x14ac:dyDescent="0.3">
      <c r="A14" s="25" t="s">
        <v>114</v>
      </c>
      <c r="B14" s="38">
        <f>B12/D3*100</f>
        <v>169.21269095182143</v>
      </c>
      <c r="C14" s="38">
        <f>C12/F3*100</f>
        <v>26.969696969696965</v>
      </c>
      <c r="D14" s="3"/>
    </row>
    <row r="15" spans="1:9" ht="14.4" customHeight="1" x14ac:dyDescent="0.3">
      <c r="A15" s="25"/>
      <c r="B15" s="3"/>
      <c r="C15" s="3"/>
      <c r="D15" s="3"/>
      <c r="I15" s="17"/>
    </row>
    <row r="16" spans="1:9" x14ac:dyDescent="0.3">
      <c r="A16" s="25" t="s">
        <v>115</v>
      </c>
      <c r="B16" s="3"/>
      <c r="C16" s="3"/>
      <c r="D16" s="10">
        <f>D2-F2</f>
        <v>1.6817129629629633E-2</v>
      </c>
    </row>
    <row r="17" spans="1:9" x14ac:dyDescent="0.3">
      <c r="A17" s="25" t="s">
        <v>116</v>
      </c>
      <c r="B17" s="3"/>
      <c r="C17" s="3"/>
      <c r="D17" s="12">
        <f>E2/G2</f>
        <v>2.7338902147971362</v>
      </c>
      <c r="E17" t="s">
        <v>119</v>
      </c>
      <c r="I17" s="5"/>
    </row>
    <row r="18" spans="1:9" x14ac:dyDescent="0.3">
      <c r="A18" s="25" t="s">
        <v>117</v>
      </c>
      <c r="B18" s="2"/>
      <c r="C18" s="3"/>
      <c r="D18" s="10">
        <f>D3-F3</f>
        <v>2.2106481481481482E-3</v>
      </c>
      <c r="I18" s="18"/>
    </row>
    <row r="19" spans="1:9" x14ac:dyDescent="0.3">
      <c r="A19" s="25" t="s">
        <v>118</v>
      </c>
      <c r="B19" s="3"/>
      <c r="C19" s="3"/>
      <c r="D19" s="12">
        <f>E3/G3</f>
        <v>1.2893939393939393</v>
      </c>
      <c r="E19" t="s">
        <v>120</v>
      </c>
      <c r="I19" s="18"/>
    </row>
    <row r="20" spans="1:9" x14ac:dyDescent="0.3">
      <c r="A20" s="25"/>
      <c r="B20" s="3"/>
      <c r="C20" s="3"/>
      <c r="D20" s="3"/>
      <c r="I20" s="18"/>
    </row>
    <row r="21" spans="1:9" x14ac:dyDescent="0.3">
      <c r="A21" s="44" t="s">
        <v>121</v>
      </c>
      <c r="B21" s="3"/>
      <c r="C21" s="3"/>
      <c r="D21" s="3"/>
      <c r="I21" s="18"/>
    </row>
    <row r="22" spans="1:9" x14ac:dyDescent="0.3">
      <c r="A22" s="25" t="s">
        <v>122</v>
      </c>
      <c r="B22" s="42">
        <f>(B2*E2+B3*E3)/B8</f>
        <v>1401.7777505592078</v>
      </c>
      <c r="C22" s="38">
        <f>(C2*G2+C3*G3)/C8</f>
        <v>730.52246195074031</v>
      </c>
      <c r="D22" s="12">
        <f>B22/C22</f>
        <v>1.9188701560469346</v>
      </c>
      <c r="E22" t="s">
        <v>124</v>
      </c>
    </row>
    <row r="23" spans="1:9" x14ac:dyDescent="0.3">
      <c r="A23" s="25" t="s">
        <v>123</v>
      </c>
      <c r="B23" s="10">
        <f>B22/86400</f>
        <v>1.62242795203612E-2</v>
      </c>
      <c r="C23" s="10">
        <f>C22/86400</f>
        <v>8.4551210873928268E-3</v>
      </c>
      <c r="D23" s="10">
        <f>B23-C23</f>
        <v>7.7691584329683729E-3</v>
      </c>
      <c r="E23" t="s">
        <v>125</v>
      </c>
      <c r="I23" s="5"/>
    </row>
    <row r="24" spans="1:9" x14ac:dyDescent="0.3">
      <c r="B24" s="5"/>
      <c r="I24" s="18"/>
    </row>
    <row r="25" spans="1:9" x14ac:dyDescent="0.3">
      <c r="I25" s="18"/>
    </row>
    <row r="26" spans="1:9" ht="23.4" x14ac:dyDescent="0.3">
      <c r="B26" s="17"/>
      <c r="I26" s="18"/>
    </row>
    <row r="27" spans="1:9" x14ac:dyDescent="0.3">
      <c r="I27" s="18"/>
    </row>
    <row r="28" spans="1:9" x14ac:dyDescent="0.3">
      <c r="B28" s="5"/>
    </row>
    <row r="29" spans="1:9" x14ac:dyDescent="0.3">
      <c r="B29" s="18"/>
      <c r="I29" s="5"/>
    </row>
    <row r="30" spans="1:9" x14ac:dyDescent="0.3">
      <c r="B30" s="18"/>
      <c r="I30" s="18"/>
    </row>
    <row r="31" spans="1:9" x14ac:dyDescent="0.3">
      <c r="B31" s="18"/>
      <c r="I31" s="18"/>
    </row>
    <row r="32" spans="1:9" x14ac:dyDescent="0.3">
      <c r="B32" s="18"/>
      <c r="I32" s="18"/>
    </row>
    <row r="33" spans="2:9" x14ac:dyDescent="0.3">
      <c r="I33" s="18"/>
    </row>
    <row r="34" spans="2:9" x14ac:dyDescent="0.3">
      <c r="B34" s="5"/>
    </row>
    <row r="35" spans="2:9" x14ac:dyDescent="0.3">
      <c r="B35" s="18"/>
      <c r="I35" s="5"/>
    </row>
    <row r="36" spans="2:9" x14ac:dyDescent="0.3">
      <c r="B36" s="18"/>
    </row>
    <row r="37" spans="2:9" x14ac:dyDescent="0.3">
      <c r="B37" s="18"/>
    </row>
    <row r="38" spans="2:9" x14ac:dyDescent="0.3">
      <c r="B38" s="18"/>
    </row>
    <row r="40" spans="2:9" ht="23.4" x14ac:dyDescent="0.3">
      <c r="B40" s="17"/>
    </row>
    <row r="42" spans="2:9" x14ac:dyDescent="0.3">
      <c r="B42" s="5"/>
    </row>
    <row r="43" spans="2:9" x14ac:dyDescent="0.3">
      <c r="B43" s="18"/>
    </row>
    <row r="44" spans="2:9" x14ac:dyDescent="0.3">
      <c r="B44" s="18"/>
    </row>
    <row r="45" spans="2:9" x14ac:dyDescent="0.3">
      <c r="B45" s="18"/>
    </row>
    <row r="46" spans="2:9" x14ac:dyDescent="0.3">
      <c r="B46" s="18"/>
    </row>
    <row r="48" spans="2:9" x14ac:dyDescent="0.3">
      <c r="B48" s="5"/>
    </row>
    <row r="49" spans="2:2" x14ac:dyDescent="0.3">
      <c r="B49" s="18"/>
    </row>
    <row r="50" spans="2:2" x14ac:dyDescent="0.3">
      <c r="B50" s="18"/>
    </row>
    <row r="51" spans="2:2" x14ac:dyDescent="0.3">
      <c r="B51" s="18"/>
    </row>
    <row r="52" spans="2:2" x14ac:dyDescent="0.3">
      <c r="B52" s="18"/>
    </row>
    <row r="54" spans="2:2" x14ac:dyDescent="0.3">
      <c r="B54" s="5"/>
    </row>
    <row r="55" spans="2:2" x14ac:dyDescent="0.3">
      <c r="B55" s="18"/>
    </row>
    <row r="56" spans="2:2" x14ac:dyDescent="0.3">
      <c r="B56" s="18"/>
    </row>
    <row r="57" spans="2:2" x14ac:dyDescent="0.3">
      <c r="B57" s="18"/>
    </row>
    <row r="58" spans="2:2" x14ac:dyDescent="0.3">
      <c r="B58" s="18"/>
    </row>
    <row r="60" spans="2:2" x14ac:dyDescent="0.3">
      <c r="B60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6C6B-E37C-40B4-BCFF-8E113B231A98}">
  <dimension ref="A1:L47"/>
  <sheetViews>
    <sheetView topLeftCell="A7" workbookViewId="0">
      <selection activeCell="F33" sqref="F33"/>
    </sheetView>
  </sheetViews>
  <sheetFormatPr defaultRowHeight="14.4" x14ac:dyDescent="0.3"/>
  <cols>
    <col min="1" max="1" width="18.88671875" style="3" customWidth="1"/>
    <col min="2" max="2" width="12.109375" style="3" bestFit="1" customWidth="1"/>
    <col min="3" max="3" width="14.109375" style="3" bestFit="1" customWidth="1"/>
    <col min="4" max="4" width="18.6640625" bestFit="1" customWidth="1"/>
    <col min="5" max="5" width="22.44140625" bestFit="1" customWidth="1"/>
    <col min="6" max="6" width="20.5546875" style="6" bestFit="1" customWidth="1"/>
    <col min="7" max="7" width="24.33203125" bestFit="1" customWidth="1"/>
  </cols>
  <sheetData>
    <row r="1" spans="1:12" s="5" customFormat="1" x14ac:dyDescent="0.3">
      <c r="A1" s="2" t="s">
        <v>14</v>
      </c>
      <c r="B1" s="2" t="s">
        <v>10</v>
      </c>
      <c r="C1" s="2" t="s">
        <v>11</v>
      </c>
      <c r="D1" s="2" t="s">
        <v>12</v>
      </c>
      <c r="E1" s="2" t="s">
        <v>41</v>
      </c>
      <c r="F1" s="1" t="s">
        <v>13</v>
      </c>
      <c r="G1" s="2" t="s">
        <v>42</v>
      </c>
      <c r="L1" s="61"/>
    </row>
    <row r="2" spans="1:12" x14ac:dyDescent="0.3">
      <c r="A2" s="3">
        <v>0</v>
      </c>
      <c r="B2" s="3">
        <v>37849</v>
      </c>
      <c r="C2" s="3">
        <v>32241</v>
      </c>
      <c r="D2" s="10">
        <v>1.5787037037037037E-2</v>
      </c>
      <c r="E2" s="3">
        <f>HOUR(D2)*3600+MINUTE(D2)*60+SECOND(D2)</f>
        <v>1364</v>
      </c>
      <c r="F2" s="24">
        <v>8.1250000000000003E-3</v>
      </c>
      <c r="G2" s="3">
        <f>HOUR(F2)*3600+MINUTE(F2)*60+SECOND(F2)</f>
        <v>702</v>
      </c>
    </row>
    <row r="3" spans="1:12" x14ac:dyDescent="0.3">
      <c r="A3" s="3">
        <v>1</v>
      </c>
      <c r="B3" s="3">
        <v>24577</v>
      </c>
      <c r="C3" s="3">
        <v>20144</v>
      </c>
      <c r="D3" s="10">
        <v>1.579861111111111E-2</v>
      </c>
      <c r="E3" s="3">
        <f t="shared" ref="E3:E25" si="0">HOUR(D3)*3600+MINUTE(D3)*60+SECOND(D3)</f>
        <v>1365</v>
      </c>
      <c r="F3" s="24">
        <v>8.1481481481481474E-3</v>
      </c>
      <c r="G3" s="3">
        <f t="shared" ref="G3:G25" si="1">HOUR(F3)*3600+MINUTE(F3)*60+SECOND(F3)</f>
        <v>704</v>
      </c>
    </row>
    <row r="4" spans="1:12" x14ac:dyDescent="0.3">
      <c r="A4" s="3">
        <v>2</v>
      </c>
      <c r="B4" s="3">
        <v>15876</v>
      </c>
      <c r="C4" s="3">
        <v>11918</v>
      </c>
      <c r="D4" s="10">
        <v>1.6180555555555556E-2</v>
      </c>
      <c r="E4" s="3">
        <f t="shared" si="0"/>
        <v>1398</v>
      </c>
      <c r="F4" s="24">
        <v>8.3101851851851843E-3</v>
      </c>
      <c r="G4" s="3">
        <f t="shared" si="1"/>
        <v>718</v>
      </c>
    </row>
    <row r="5" spans="1:12" x14ac:dyDescent="0.3">
      <c r="A5" s="3">
        <v>3</v>
      </c>
      <c r="B5" s="3">
        <v>8834</v>
      </c>
      <c r="C5" s="3">
        <v>8094</v>
      </c>
      <c r="D5" s="30">
        <v>1.9537037037037037E-2</v>
      </c>
      <c r="E5" s="29">
        <f t="shared" si="0"/>
        <v>1688</v>
      </c>
      <c r="F5" s="62">
        <v>9.0277777777777769E-3</v>
      </c>
      <c r="G5" s="29">
        <f t="shared" si="1"/>
        <v>780</v>
      </c>
    </row>
    <row r="6" spans="1:12" x14ac:dyDescent="0.3">
      <c r="A6" s="3">
        <v>4</v>
      </c>
      <c r="B6" s="3">
        <v>7036</v>
      </c>
      <c r="C6" s="3">
        <v>8891</v>
      </c>
      <c r="D6" s="10">
        <v>1.425925925925926E-2</v>
      </c>
      <c r="E6" s="3">
        <f t="shared" si="0"/>
        <v>1232</v>
      </c>
      <c r="F6" s="24">
        <v>8.1828703703703699E-3</v>
      </c>
      <c r="G6" s="3">
        <f t="shared" si="1"/>
        <v>707</v>
      </c>
    </row>
    <row r="7" spans="1:12" x14ac:dyDescent="0.3">
      <c r="A7" s="3">
        <v>5</v>
      </c>
      <c r="B7" s="3">
        <v>11547</v>
      </c>
      <c r="C7" s="3">
        <v>33348</v>
      </c>
      <c r="D7" s="30">
        <v>1.1168981481481481E-2</v>
      </c>
      <c r="E7" s="29">
        <f t="shared" si="0"/>
        <v>965</v>
      </c>
      <c r="F7" s="62">
        <v>7.6967592592592591E-3</v>
      </c>
      <c r="G7" s="29">
        <f t="shared" si="1"/>
        <v>665</v>
      </c>
    </row>
    <row r="8" spans="1:12" x14ac:dyDescent="0.3">
      <c r="A8" s="3">
        <v>6</v>
      </c>
      <c r="B8" s="3">
        <v>27293</v>
      </c>
      <c r="C8" s="3">
        <v>99865</v>
      </c>
      <c r="D8" s="10">
        <v>1.1423611111111112E-2</v>
      </c>
      <c r="E8" s="3">
        <f t="shared" si="0"/>
        <v>987</v>
      </c>
      <c r="F8" s="24">
        <v>7.8125E-3</v>
      </c>
      <c r="G8" s="3">
        <f t="shared" si="1"/>
        <v>675</v>
      </c>
    </row>
    <row r="9" spans="1:12" x14ac:dyDescent="0.3">
      <c r="A9" s="3">
        <v>7</v>
      </c>
      <c r="B9" s="3">
        <v>50023</v>
      </c>
      <c r="C9" s="3">
        <v>196729</v>
      </c>
      <c r="D9" s="10">
        <v>1.1516203703703704E-2</v>
      </c>
      <c r="E9" s="3">
        <f t="shared" si="0"/>
        <v>995</v>
      </c>
      <c r="F9" s="24">
        <v>7.789351851851852E-3</v>
      </c>
      <c r="G9" s="3">
        <f t="shared" si="1"/>
        <v>673</v>
      </c>
    </row>
    <row r="10" spans="1:12" x14ac:dyDescent="0.3">
      <c r="A10" s="3">
        <v>8</v>
      </c>
      <c r="B10" s="3">
        <v>72034</v>
      </c>
      <c r="C10" s="3">
        <v>253114</v>
      </c>
      <c r="D10" s="10">
        <v>1.2638888888888889E-2</v>
      </c>
      <c r="E10" s="3">
        <f t="shared" si="0"/>
        <v>1092</v>
      </c>
      <c r="F10" s="24">
        <v>7.8009259259259256E-3</v>
      </c>
      <c r="G10" s="3">
        <f t="shared" si="1"/>
        <v>674</v>
      </c>
      <c r="I10" s="31"/>
    </row>
    <row r="11" spans="1:12" x14ac:dyDescent="0.3">
      <c r="A11" s="3">
        <v>9</v>
      </c>
      <c r="B11" s="3">
        <v>71419</v>
      </c>
      <c r="C11" s="3">
        <v>167954</v>
      </c>
      <c r="D11" s="10">
        <v>1.6527777777777777E-2</v>
      </c>
      <c r="E11" s="3">
        <f t="shared" si="0"/>
        <v>1428</v>
      </c>
      <c r="F11" s="24">
        <v>7.7314814814814815E-3</v>
      </c>
      <c r="G11" s="3">
        <f t="shared" si="1"/>
        <v>668</v>
      </c>
    </row>
    <row r="12" spans="1:12" x14ac:dyDescent="0.3">
      <c r="A12" s="3">
        <v>10</v>
      </c>
      <c r="B12" s="3">
        <v>86638</v>
      </c>
      <c r="C12" s="3">
        <v>144270</v>
      </c>
      <c r="D12" s="10">
        <v>1.9305555555555555E-2</v>
      </c>
      <c r="E12" s="3">
        <f t="shared" si="0"/>
        <v>1668</v>
      </c>
      <c r="F12" s="24">
        <v>8.4143518518518517E-3</v>
      </c>
      <c r="G12" s="3">
        <f t="shared" si="1"/>
        <v>727</v>
      </c>
    </row>
    <row r="13" spans="1:12" x14ac:dyDescent="0.3">
      <c r="A13" s="3">
        <v>11</v>
      </c>
      <c r="B13" s="3">
        <v>110246</v>
      </c>
      <c r="C13" s="3">
        <v>169036</v>
      </c>
      <c r="D13" s="10">
        <v>1.9143518518518518E-2</v>
      </c>
      <c r="E13" s="3">
        <f t="shared" si="0"/>
        <v>1654</v>
      </c>
      <c r="F13" s="24">
        <v>8.4953703703703701E-3</v>
      </c>
      <c r="G13" s="3">
        <f t="shared" si="1"/>
        <v>734</v>
      </c>
    </row>
    <row r="14" spans="1:12" x14ac:dyDescent="0.3">
      <c r="A14" s="3">
        <v>12</v>
      </c>
      <c r="B14" s="3">
        <v>128276</v>
      </c>
      <c r="C14" s="3">
        <v>189753</v>
      </c>
      <c r="D14" s="10">
        <v>1.8391203703703705E-2</v>
      </c>
      <c r="E14" s="3">
        <f t="shared" si="0"/>
        <v>1589</v>
      </c>
      <c r="F14" s="24">
        <v>8.1828703703703699E-3</v>
      </c>
      <c r="G14" s="3">
        <f t="shared" si="1"/>
        <v>707</v>
      </c>
    </row>
    <row r="15" spans="1:12" x14ac:dyDescent="0.3">
      <c r="A15" s="3">
        <v>13</v>
      </c>
      <c r="B15" s="3">
        <v>132459</v>
      </c>
      <c r="C15" s="3">
        <v>185170</v>
      </c>
      <c r="D15" s="10">
        <v>1.8263888888888889E-2</v>
      </c>
      <c r="E15" s="3">
        <f t="shared" si="0"/>
        <v>1578</v>
      </c>
      <c r="F15" s="24">
        <v>8.2754629629629636E-3</v>
      </c>
      <c r="G15" s="3">
        <f t="shared" si="1"/>
        <v>715</v>
      </c>
    </row>
    <row r="16" spans="1:12" x14ac:dyDescent="0.3">
      <c r="A16" s="3">
        <v>14</v>
      </c>
      <c r="B16" s="3">
        <v>139227</v>
      </c>
      <c r="C16" s="3">
        <v>187668</v>
      </c>
      <c r="D16" s="10">
        <v>1.8379629629629631E-2</v>
      </c>
      <c r="E16" s="3">
        <f t="shared" si="0"/>
        <v>1588</v>
      </c>
      <c r="F16" s="24">
        <v>8.7500000000000008E-3</v>
      </c>
      <c r="G16" s="3">
        <f t="shared" si="1"/>
        <v>756</v>
      </c>
    </row>
    <row r="17" spans="1:9" x14ac:dyDescent="0.3">
      <c r="A17" s="3">
        <v>15</v>
      </c>
      <c r="B17" s="3">
        <v>155069</v>
      </c>
      <c r="C17" s="3">
        <v>234740</v>
      </c>
      <c r="D17" s="10">
        <v>1.6770833333333332E-2</v>
      </c>
      <c r="E17" s="3">
        <f t="shared" si="0"/>
        <v>1449</v>
      </c>
      <c r="F17" s="24">
        <v>8.726851851851852E-3</v>
      </c>
      <c r="G17" s="3">
        <f t="shared" si="1"/>
        <v>754</v>
      </c>
    </row>
    <row r="18" spans="1:9" x14ac:dyDescent="0.3">
      <c r="A18" s="3">
        <v>16</v>
      </c>
      <c r="B18" s="3">
        <v>175375</v>
      </c>
      <c r="C18" s="3">
        <v>328490</v>
      </c>
      <c r="D18" s="10">
        <v>1.5856481481481482E-2</v>
      </c>
      <c r="E18" s="3">
        <f t="shared" si="0"/>
        <v>1370</v>
      </c>
      <c r="F18" s="24">
        <v>8.86574074074074E-3</v>
      </c>
      <c r="G18" s="3">
        <f t="shared" si="1"/>
        <v>766</v>
      </c>
    </row>
    <row r="19" spans="1:9" x14ac:dyDescent="0.3">
      <c r="A19" s="3">
        <v>17</v>
      </c>
      <c r="B19" s="3">
        <v>188156</v>
      </c>
      <c r="C19" s="3">
        <v>373058</v>
      </c>
      <c r="D19" s="10">
        <v>1.5509259259259259E-2</v>
      </c>
      <c r="E19" s="3">
        <f t="shared" si="0"/>
        <v>1340</v>
      </c>
      <c r="F19" s="24">
        <v>9.0277777777777769E-3</v>
      </c>
      <c r="G19" s="3">
        <f t="shared" si="1"/>
        <v>780</v>
      </c>
      <c r="I19" s="31"/>
    </row>
    <row r="20" spans="1:9" x14ac:dyDescent="0.3">
      <c r="A20" s="3">
        <v>18</v>
      </c>
      <c r="B20" s="3">
        <v>161431</v>
      </c>
      <c r="C20" s="3">
        <v>288891</v>
      </c>
      <c r="D20" s="10">
        <v>1.5347222222222222E-2</v>
      </c>
      <c r="E20" s="3">
        <f t="shared" si="0"/>
        <v>1326</v>
      </c>
      <c r="F20" s="24">
        <v>8.7847222222222215E-3</v>
      </c>
      <c r="G20" s="3">
        <f t="shared" si="1"/>
        <v>759</v>
      </c>
    </row>
    <row r="21" spans="1:9" x14ac:dyDescent="0.3">
      <c r="A21" s="3">
        <v>19</v>
      </c>
      <c r="B21" s="3">
        <v>119809</v>
      </c>
      <c r="C21" s="3">
        <v>200418</v>
      </c>
      <c r="D21" s="10">
        <v>1.5243055555555555E-2</v>
      </c>
      <c r="E21" s="3">
        <f t="shared" si="0"/>
        <v>1317</v>
      </c>
      <c r="F21" s="24">
        <v>8.6458333333333335E-3</v>
      </c>
      <c r="G21" s="3">
        <f t="shared" si="1"/>
        <v>747</v>
      </c>
    </row>
    <row r="22" spans="1:9" x14ac:dyDescent="0.3">
      <c r="A22" s="3">
        <v>20</v>
      </c>
      <c r="B22" s="3">
        <v>87035</v>
      </c>
      <c r="C22" s="3">
        <v>139223</v>
      </c>
      <c r="D22" s="10">
        <v>1.4907407407407407E-2</v>
      </c>
      <c r="E22" s="3">
        <f t="shared" si="0"/>
        <v>1288</v>
      </c>
      <c r="F22" s="24">
        <v>8.518518518518519E-3</v>
      </c>
      <c r="G22" s="3">
        <f t="shared" si="1"/>
        <v>736</v>
      </c>
    </row>
    <row r="23" spans="1:9" x14ac:dyDescent="0.3">
      <c r="A23" s="3">
        <v>21</v>
      </c>
      <c r="B23" s="3">
        <v>73733</v>
      </c>
      <c r="C23" s="3">
        <v>108257</v>
      </c>
      <c r="D23" s="10">
        <v>1.4456018518518519E-2</v>
      </c>
      <c r="E23" s="3">
        <f t="shared" si="0"/>
        <v>1249</v>
      </c>
      <c r="F23" s="24">
        <v>8.3912037037037045E-3</v>
      </c>
      <c r="G23" s="3">
        <f t="shared" si="1"/>
        <v>725</v>
      </c>
    </row>
    <row r="24" spans="1:9" x14ac:dyDescent="0.3">
      <c r="A24" s="3">
        <v>22</v>
      </c>
      <c r="B24" s="3">
        <v>63080</v>
      </c>
      <c r="C24" s="3">
        <v>78444</v>
      </c>
      <c r="D24" s="10">
        <v>1.4583333333333334E-2</v>
      </c>
      <c r="E24" s="3">
        <f t="shared" si="0"/>
        <v>1260</v>
      </c>
      <c r="F24" s="24">
        <v>8.4953703703703701E-3</v>
      </c>
      <c r="G24" s="3">
        <f t="shared" si="1"/>
        <v>734</v>
      </c>
    </row>
    <row r="25" spans="1:9" x14ac:dyDescent="0.3">
      <c r="A25" s="3">
        <v>23</v>
      </c>
      <c r="B25" s="3">
        <v>45082</v>
      </c>
      <c r="C25" s="3">
        <v>49485</v>
      </c>
      <c r="D25" s="10">
        <v>1.5266203703703704E-2</v>
      </c>
      <c r="E25" s="3">
        <f t="shared" si="0"/>
        <v>1319</v>
      </c>
      <c r="F25" s="24">
        <v>8.6342592592592599E-3</v>
      </c>
      <c r="G25" s="3">
        <f t="shared" si="1"/>
        <v>746</v>
      </c>
    </row>
    <row r="26" spans="1:9" x14ac:dyDescent="0.3">
      <c r="C26" s="3">
        <f>SUM(B2:C25)</f>
        <v>5501305</v>
      </c>
    </row>
    <row r="27" spans="1:9" x14ac:dyDescent="0.3">
      <c r="A27" s="16" t="s">
        <v>164</v>
      </c>
      <c r="B27" s="6"/>
      <c r="C27" s="6"/>
      <c r="D27" s="3"/>
    </row>
    <row r="28" spans="1:9" x14ac:dyDescent="0.3">
      <c r="A28" s="16" t="s">
        <v>51</v>
      </c>
      <c r="B28" s="55" t="s">
        <v>47</v>
      </c>
      <c r="C28" s="56" t="s">
        <v>48</v>
      </c>
      <c r="D28" s="2" t="s">
        <v>95</v>
      </c>
      <c r="E28" s="2" t="s">
        <v>54</v>
      </c>
    </row>
    <row r="29" spans="1:9" x14ac:dyDescent="0.3">
      <c r="A29" s="25" t="s">
        <v>49</v>
      </c>
      <c r="B29" s="3">
        <f>SUM(B2:B25)</f>
        <v>1992104</v>
      </c>
      <c r="C29" s="3">
        <f>SUM(C2:C25)</f>
        <v>3509201</v>
      </c>
      <c r="D29" s="12">
        <f>C29/B29</f>
        <v>1.761555119612229</v>
      </c>
      <c r="E29" t="s">
        <v>221</v>
      </c>
    </row>
    <row r="30" spans="1:9" x14ac:dyDescent="0.3">
      <c r="A30" s="25" t="s">
        <v>126</v>
      </c>
      <c r="B30" s="3">
        <f>B2</f>
        <v>37849</v>
      </c>
      <c r="C30" s="3">
        <f>C2</f>
        <v>32241</v>
      </c>
      <c r="D30" s="12">
        <f>B30/C30</f>
        <v>1.1739400142675476</v>
      </c>
      <c r="E30" t="s">
        <v>133</v>
      </c>
    </row>
    <row r="31" spans="1:9" x14ac:dyDescent="0.3">
      <c r="A31" s="25" t="s">
        <v>127</v>
      </c>
      <c r="B31" s="3">
        <f t="shared" ref="B31:C33" si="2">B3</f>
        <v>24577</v>
      </c>
      <c r="C31" s="3">
        <f t="shared" si="2"/>
        <v>20144</v>
      </c>
      <c r="D31" s="12">
        <f t="shared" ref="D31:D33" si="3">B31/C31</f>
        <v>1.2200655281969817</v>
      </c>
      <c r="E31" t="s">
        <v>133</v>
      </c>
    </row>
    <row r="32" spans="1:9" x14ac:dyDescent="0.3">
      <c r="A32" s="25" t="s">
        <v>128</v>
      </c>
      <c r="B32" s="3">
        <f t="shared" si="2"/>
        <v>15876</v>
      </c>
      <c r="C32" s="3">
        <f t="shared" si="2"/>
        <v>11918</v>
      </c>
      <c r="D32" s="12">
        <f t="shared" si="3"/>
        <v>1.3321027017956033</v>
      </c>
      <c r="E32" t="s">
        <v>133</v>
      </c>
    </row>
    <row r="33" spans="1:5" x14ac:dyDescent="0.3">
      <c r="A33" s="25" t="s">
        <v>129</v>
      </c>
      <c r="B33" s="3">
        <f t="shared" si="2"/>
        <v>8834</v>
      </c>
      <c r="C33" s="3">
        <f t="shared" si="2"/>
        <v>8094</v>
      </c>
      <c r="D33" s="12">
        <f t="shared" si="3"/>
        <v>1.0914257474672597</v>
      </c>
      <c r="E33" t="s">
        <v>133</v>
      </c>
    </row>
    <row r="34" spans="1:5" x14ac:dyDescent="0.3">
      <c r="A34" s="25" t="s">
        <v>137</v>
      </c>
      <c r="B34" s="3">
        <f>SUM(B30:B33)</f>
        <v>87136</v>
      </c>
      <c r="C34" s="3">
        <f>SUM(C30:C33)</f>
        <v>72397</v>
      </c>
      <c r="D34" s="12">
        <f>B34/C34</f>
        <v>1.2035857839413235</v>
      </c>
      <c r="E34" t="s">
        <v>133</v>
      </c>
    </row>
    <row r="35" spans="1:5" x14ac:dyDescent="0.3">
      <c r="A35" s="25" t="s">
        <v>130</v>
      </c>
      <c r="B35" s="3">
        <f>B10</f>
        <v>72034</v>
      </c>
      <c r="C35" s="3">
        <f>C10</f>
        <v>253114</v>
      </c>
      <c r="D35" s="12">
        <f>C35/B35</f>
        <v>3.5138129216758753</v>
      </c>
      <c r="E35" t="s">
        <v>134</v>
      </c>
    </row>
    <row r="36" spans="1:5" x14ac:dyDescent="0.3">
      <c r="A36" s="25" t="s">
        <v>131</v>
      </c>
      <c r="B36" s="3">
        <f>B14</f>
        <v>128276</v>
      </c>
      <c r="C36" s="3">
        <f>C14</f>
        <v>189753</v>
      </c>
      <c r="D36" s="12">
        <f t="shared" ref="D36:D37" si="4">C36/B36</f>
        <v>1.4792556674670243</v>
      </c>
      <c r="E36" t="s">
        <v>135</v>
      </c>
    </row>
    <row r="37" spans="1:5" x14ac:dyDescent="0.3">
      <c r="A37" s="25" t="s">
        <v>132</v>
      </c>
      <c r="B37" s="3">
        <f>B19</f>
        <v>188156</v>
      </c>
      <c r="C37" s="3">
        <f>C19</f>
        <v>373058</v>
      </c>
      <c r="D37" s="12">
        <f t="shared" si="4"/>
        <v>1.9827058398350306</v>
      </c>
      <c r="E37" t="s">
        <v>136</v>
      </c>
    </row>
    <row r="38" spans="1:5" x14ac:dyDescent="0.3">
      <c r="A38" s="44" t="s">
        <v>165</v>
      </c>
    </row>
    <row r="39" spans="1:5" x14ac:dyDescent="0.3">
      <c r="A39" s="25" t="s">
        <v>147</v>
      </c>
      <c r="B39" s="3">
        <f>SUM(E2:E25)</f>
        <v>32509</v>
      </c>
      <c r="C39" s="3">
        <f>SUM(G2:G25)</f>
        <v>17352</v>
      </c>
    </row>
    <row r="40" spans="1:5" x14ac:dyDescent="0.3">
      <c r="A40" s="25" t="s">
        <v>148</v>
      </c>
      <c r="B40" s="38">
        <f>AVERAGE(E2:E25)</f>
        <v>1354.5416666666667</v>
      </c>
      <c r="C40" s="3">
        <f>AVERAGE(G2:G25)</f>
        <v>723</v>
      </c>
      <c r="D40" s="12">
        <f>(B40/C40)</f>
        <v>1.8735016136468419</v>
      </c>
      <c r="E40" t="s">
        <v>151</v>
      </c>
    </row>
    <row r="41" spans="1:5" x14ac:dyDescent="0.3">
      <c r="A41" s="25" t="s">
        <v>150</v>
      </c>
      <c r="B41" s="10">
        <f>B40/86400</f>
        <v>1.5677565586419754E-2</v>
      </c>
      <c r="C41" s="10">
        <f>C40/86400</f>
        <v>8.3680555555555557E-3</v>
      </c>
    </row>
    <row r="42" spans="1:5" x14ac:dyDescent="0.3">
      <c r="A42" s="25" t="s">
        <v>149</v>
      </c>
      <c r="B42" s="38">
        <f>_xlfn.STDEV.P(E2:E25)</f>
        <v>204.47350667153813</v>
      </c>
      <c r="C42" s="38">
        <f>_xlfn.STDEV.P(G2:G25)</f>
        <v>34.294071402114582</v>
      </c>
    </row>
    <row r="43" spans="1:5" x14ac:dyDescent="0.3">
      <c r="A43" s="25" t="s">
        <v>139</v>
      </c>
      <c r="B43" s="10">
        <f>MAX(D2:D25)</f>
        <v>1.9537037037037037E-2</v>
      </c>
      <c r="C43" s="10">
        <f>MAX(F3:F26)</f>
        <v>9.0277777777777769E-3</v>
      </c>
      <c r="E43" t="s">
        <v>141</v>
      </c>
    </row>
    <row r="44" spans="1:5" x14ac:dyDescent="0.3">
      <c r="A44" s="25" t="s">
        <v>138</v>
      </c>
      <c r="B44" s="10">
        <f>MIN(D2:D25)</f>
        <v>1.1168981481481481E-2</v>
      </c>
      <c r="C44" s="10">
        <f>MIN(F2:F25)</f>
        <v>7.6967592592592591E-3</v>
      </c>
      <c r="E44" t="s">
        <v>140</v>
      </c>
    </row>
    <row r="45" spans="1:5" x14ac:dyDescent="0.3">
      <c r="A45" s="25" t="s">
        <v>90</v>
      </c>
      <c r="B45" s="10">
        <f>B43-B44</f>
        <v>8.3680555555555557E-3</v>
      </c>
      <c r="C45" s="10">
        <f>C43-C44</f>
        <v>1.3310185185185178E-3</v>
      </c>
      <c r="E45" t="s">
        <v>142</v>
      </c>
    </row>
    <row r="46" spans="1:5" x14ac:dyDescent="0.3">
      <c r="A46" s="25" t="s">
        <v>143</v>
      </c>
      <c r="B46" s="10">
        <f>D5-F5</f>
        <v>1.050925925925926E-2</v>
      </c>
      <c r="D46" s="12">
        <f>D5/F5</f>
        <v>2.1641025641025644</v>
      </c>
      <c r="E46" t="s">
        <v>146</v>
      </c>
    </row>
    <row r="47" spans="1:5" x14ac:dyDescent="0.3">
      <c r="A47" s="25" t="s">
        <v>144</v>
      </c>
      <c r="B47" s="10">
        <f>D7-F7</f>
        <v>3.472222222222222E-3</v>
      </c>
      <c r="D47" s="12">
        <f>D7/F7</f>
        <v>1.4511278195488722</v>
      </c>
      <c r="E47" t="s">
        <v>145</v>
      </c>
    </row>
  </sheetData>
  <pageMargins left="0.7" right="0.7" top="0.75" bottom="0.75" header="0.3" footer="0.3"/>
  <pageSetup orientation="portrait" r:id="rId1"/>
  <ignoredErrors>
    <ignoredError sqref="C4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531A-7396-4A83-9FE4-8A91E6A85485}">
  <dimension ref="A1:I35"/>
  <sheetViews>
    <sheetView workbookViewId="0">
      <selection activeCell="D21" sqref="D21"/>
    </sheetView>
  </sheetViews>
  <sheetFormatPr defaultRowHeight="14.4" x14ac:dyDescent="0.3"/>
  <cols>
    <col min="1" max="1" width="15.109375" bestFit="1" customWidth="1"/>
    <col min="2" max="2" width="16.109375" bestFit="1" customWidth="1"/>
    <col min="3" max="3" width="18.109375" bestFit="1" customWidth="1"/>
    <col min="4" max="4" width="17.6640625" bestFit="1" customWidth="1"/>
    <col min="5" max="5" width="19.5546875" bestFit="1" customWidth="1"/>
    <col min="6" max="6" width="3.109375" customWidth="1"/>
    <col min="9" max="9" width="31.109375" bestFit="1" customWidth="1"/>
  </cols>
  <sheetData>
    <row r="1" spans="1:9" s="5" customFormat="1" x14ac:dyDescent="0.3">
      <c r="A1" s="2" t="s">
        <v>15</v>
      </c>
      <c r="B1" s="2" t="s">
        <v>22</v>
      </c>
      <c r="C1" s="2" t="s">
        <v>23</v>
      </c>
      <c r="D1" s="2" t="s">
        <v>24</v>
      </c>
      <c r="E1" s="2" t="s">
        <v>25</v>
      </c>
      <c r="G1" s="46" t="s">
        <v>155</v>
      </c>
      <c r="H1" s="46" t="s">
        <v>159</v>
      </c>
      <c r="I1" s="2" t="s">
        <v>54</v>
      </c>
    </row>
    <row r="2" spans="1:9" x14ac:dyDescent="0.3">
      <c r="A2" s="3" t="s">
        <v>16</v>
      </c>
      <c r="B2" s="3">
        <v>336492</v>
      </c>
      <c r="C2" s="3">
        <v>871478</v>
      </c>
      <c r="D2" s="3">
        <v>16.89</v>
      </c>
      <c r="E2" s="3">
        <v>24.83</v>
      </c>
      <c r="G2">
        <f t="shared" ref="G2:G7" si="0">E2-D2</f>
        <v>7.9399999999999977</v>
      </c>
      <c r="H2" s="23">
        <f>E2/D2</f>
        <v>1.4701006512729424</v>
      </c>
      <c r="I2" t="s">
        <v>154</v>
      </c>
    </row>
    <row r="3" spans="1:9" x14ac:dyDescent="0.3">
      <c r="A3" s="3" t="s">
        <v>17</v>
      </c>
      <c r="B3" s="3">
        <v>523426</v>
      </c>
      <c r="C3" s="3">
        <v>1160601</v>
      </c>
      <c r="D3" s="3">
        <v>26.28</v>
      </c>
      <c r="E3" s="3">
        <v>33.07</v>
      </c>
      <c r="G3">
        <f t="shared" si="0"/>
        <v>6.7899999999999991</v>
      </c>
      <c r="H3" s="23">
        <f t="shared" ref="H3:H4" si="1">E3/D3</f>
        <v>1.2583713850837137</v>
      </c>
      <c r="I3" t="s">
        <v>158</v>
      </c>
    </row>
    <row r="4" spans="1:9" x14ac:dyDescent="0.3">
      <c r="A4" s="3" t="s">
        <v>18</v>
      </c>
      <c r="B4" s="3">
        <v>356545</v>
      </c>
      <c r="C4" s="3">
        <v>652001</v>
      </c>
      <c r="D4" s="3">
        <v>17.899999999999999</v>
      </c>
      <c r="E4" s="3">
        <v>18.579999999999998</v>
      </c>
      <c r="G4">
        <f t="shared" si="0"/>
        <v>0.67999999999999972</v>
      </c>
      <c r="H4" s="23">
        <f t="shared" si="1"/>
        <v>1.0379888268156425</v>
      </c>
      <c r="I4" t="s">
        <v>156</v>
      </c>
    </row>
    <row r="5" spans="1:9" x14ac:dyDescent="0.3">
      <c r="A5" s="3" t="s">
        <v>19</v>
      </c>
      <c r="B5" s="3">
        <v>460428</v>
      </c>
      <c r="C5" s="3">
        <v>638772</v>
      </c>
      <c r="D5" s="3">
        <v>23.11</v>
      </c>
      <c r="E5" s="3">
        <v>18.2</v>
      </c>
      <c r="G5">
        <f t="shared" si="0"/>
        <v>-4.91</v>
      </c>
      <c r="H5" s="23">
        <f>D5/E5</f>
        <v>1.2697802197802197</v>
      </c>
      <c r="I5" t="s">
        <v>157</v>
      </c>
    </row>
    <row r="6" spans="1:9" x14ac:dyDescent="0.3">
      <c r="A6" s="3" t="s">
        <v>20</v>
      </c>
      <c r="B6" s="3">
        <v>211950</v>
      </c>
      <c r="C6" s="3">
        <v>164365</v>
      </c>
      <c r="D6" s="3">
        <v>10.64</v>
      </c>
      <c r="E6" s="3">
        <v>4.68</v>
      </c>
      <c r="G6">
        <f t="shared" si="0"/>
        <v>-5.9600000000000009</v>
      </c>
      <c r="H6" s="23">
        <f t="shared" ref="H6:H7" si="2">D6/E6</f>
        <v>2.2735042735042739</v>
      </c>
      <c r="I6" t="s">
        <v>157</v>
      </c>
    </row>
    <row r="7" spans="1:9" x14ac:dyDescent="0.3">
      <c r="A7" s="3" t="s">
        <v>21</v>
      </c>
      <c r="B7" s="3">
        <v>103263</v>
      </c>
      <c r="C7" s="3">
        <v>21984</v>
      </c>
      <c r="D7" s="3">
        <v>5.18</v>
      </c>
      <c r="E7" s="3">
        <v>0.63</v>
      </c>
      <c r="G7">
        <f t="shared" si="0"/>
        <v>-4.55</v>
      </c>
      <c r="H7" s="23">
        <f t="shared" si="2"/>
        <v>8.2222222222222214</v>
      </c>
      <c r="I7" t="s">
        <v>157</v>
      </c>
    </row>
    <row r="8" spans="1:9" x14ac:dyDescent="0.3">
      <c r="A8" s="3"/>
      <c r="C8" s="3"/>
    </row>
    <row r="9" spans="1:9" x14ac:dyDescent="0.3">
      <c r="A9" s="3"/>
      <c r="C9" s="3"/>
    </row>
    <row r="10" spans="1:9" x14ac:dyDescent="0.3">
      <c r="A10" s="16" t="s">
        <v>164</v>
      </c>
      <c r="B10" s="6"/>
      <c r="C10" s="6"/>
      <c r="D10" s="3"/>
    </row>
    <row r="11" spans="1:9" x14ac:dyDescent="0.3">
      <c r="A11" s="16" t="s">
        <v>51</v>
      </c>
      <c r="B11" s="55" t="s">
        <v>47</v>
      </c>
      <c r="C11" s="56" t="s">
        <v>48</v>
      </c>
      <c r="D11" s="2" t="s">
        <v>95</v>
      </c>
      <c r="E11" s="2" t="s">
        <v>54</v>
      </c>
    </row>
    <row r="12" spans="1:9" x14ac:dyDescent="0.3">
      <c r="A12" s="63" t="s">
        <v>49</v>
      </c>
      <c r="B12" s="3">
        <f>SUM(B2:B7)</f>
        <v>1992104</v>
      </c>
      <c r="C12" s="3">
        <f>SUM(C2:C7)</f>
        <v>3509201</v>
      </c>
      <c r="D12" s="52">
        <f>C12/B12</f>
        <v>1.761555119612229</v>
      </c>
      <c r="E12" t="s">
        <v>152</v>
      </c>
    </row>
    <row r="13" spans="1:9" x14ac:dyDescent="0.3">
      <c r="A13" s="25" t="str">
        <f t="shared" ref="A13:A18" si="3">A2</f>
        <v>0-5 min</v>
      </c>
      <c r="B13" s="3">
        <f t="shared" ref="B13:C13" si="4">B2</f>
        <v>336492</v>
      </c>
      <c r="C13" s="3">
        <f t="shared" si="4"/>
        <v>871478</v>
      </c>
      <c r="D13" s="52">
        <f>C13/B13</f>
        <v>2.5898921816863401</v>
      </c>
      <c r="E13" t="s">
        <v>152</v>
      </c>
    </row>
    <row r="14" spans="1:9" x14ac:dyDescent="0.3">
      <c r="A14" s="25" t="str">
        <f t="shared" si="3"/>
        <v>5-10 min</v>
      </c>
      <c r="B14" s="3">
        <f t="shared" ref="B14:C18" si="5">B3</f>
        <v>523426</v>
      </c>
      <c r="C14" s="3">
        <f t="shared" si="5"/>
        <v>1160601</v>
      </c>
      <c r="D14" s="52">
        <f t="shared" ref="D14:D16" si="6">C14/B14</f>
        <v>2.2173162968595368</v>
      </c>
      <c r="E14" t="s">
        <v>152</v>
      </c>
    </row>
    <row r="15" spans="1:9" x14ac:dyDescent="0.3">
      <c r="A15" s="25" t="str">
        <f t="shared" si="3"/>
        <v>10-15 min</v>
      </c>
      <c r="B15" s="3">
        <f t="shared" si="5"/>
        <v>356545</v>
      </c>
      <c r="C15" s="3">
        <f t="shared" si="5"/>
        <v>652001</v>
      </c>
      <c r="D15" s="52">
        <f t="shared" si="6"/>
        <v>1.8286639835083931</v>
      </c>
      <c r="E15" t="s">
        <v>152</v>
      </c>
    </row>
    <row r="16" spans="1:9" x14ac:dyDescent="0.3">
      <c r="A16" s="25" t="str">
        <f t="shared" si="3"/>
        <v>15-30 min</v>
      </c>
      <c r="B16" s="3">
        <f t="shared" si="5"/>
        <v>460428</v>
      </c>
      <c r="C16" s="3">
        <f t="shared" si="5"/>
        <v>638772</v>
      </c>
      <c r="D16" s="52">
        <f t="shared" si="6"/>
        <v>1.3873439495425994</v>
      </c>
      <c r="E16" t="s">
        <v>152</v>
      </c>
    </row>
    <row r="17" spans="1:5" x14ac:dyDescent="0.3">
      <c r="A17" s="25" t="str">
        <f t="shared" si="3"/>
        <v>30-60 min</v>
      </c>
      <c r="B17" s="3">
        <f t="shared" si="5"/>
        <v>211950</v>
      </c>
      <c r="C17" s="3">
        <f t="shared" si="5"/>
        <v>164365</v>
      </c>
      <c r="D17" s="52">
        <f>B17/C17</f>
        <v>1.2895081069570773</v>
      </c>
      <c r="E17" t="s">
        <v>153</v>
      </c>
    </row>
    <row r="18" spans="1:5" x14ac:dyDescent="0.3">
      <c r="A18" s="25" t="str">
        <f t="shared" si="3"/>
        <v>60+ min</v>
      </c>
      <c r="B18" s="3">
        <f t="shared" si="5"/>
        <v>103263</v>
      </c>
      <c r="C18" s="3">
        <f t="shared" si="5"/>
        <v>21984</v>
      </c>
      <c r="D18" s="52">
        <f>B18/C18</f>
        <v>4.6971888646288207</v>
      </c>
      <c r="E18" t="s">
        <v>153</v>
      </c>
    </row>
    <row r="19" spans="1:5" x14ac:dyDescent="0.3">
      <c r="A19" s="25" t="s">
        <v>217</v>
      </c>
      <c r="B19" s="12">
        <f>SUM(B13:B15)/B12*100</f>
        <v>61.064231586302718</v>
      </c>
      <c r="C19" s="12">
        <f>SUM(C13:C15)/C12*100</f>
        <v>76.486926796156723</v>
      </c>
      <c r="D19" s="52"/>
    </row>
    <row r="20" spans="1:5" x14ac:dyDescent="0.3">
      <c r="A20" s="25" t="s">
        <v>218</v>
      </c>
      <c r="B20" s="12">
        <f>SUM(B16:B18)/B12*100</f>
        <v>38.935768413697275</v>
      </c>
      <c r="C20" s="12">
        <f>SUM(C16:C18)/C12*100</f>
        <v>23.51307320384327</v>
      </c>
      <c r="D20" s="52"/>
    </row>
    <row r="21" spans="1:5" x14ac:dyDescent="0.3">
      <c r="A21" s="25" t="s">
        <v>219</v>
      </c>
      <c r="B21" s="12">
        <f>SUM(B17:B18)/B12*100</f>
        <v>15.823119676482753</v>
      </c>
      <c r="C21" s="12">
        <f>SUM(C17:C18)/C12*100</f>
        <v>5.3102971303154192</v>
      </c>
      <c r="D21" s="52"/>
    </row>
    <row r="22" spans="1:5" x14ac:dyDescent="0.3">
      <c r="A22" s="25" t="s">
        <v>220</v>
      </c>
      <c r="B22" s="12">
        <f>B18/B12*100</f>
        <v>5.1836149116712784</v>
      </c>
      <c r="C22" s="12">
        <f>C18/C12*100</f>
        <v>0.62646739243491611</v>
      </c>
      <c r="D22" s="52"/>
    </row>
    <row r="23" spans="1:5" x14ac:dyDescent="0.3">
      <c r="A23" s="61" t="s">
        <v>166</v>
      </c>
    </row>
    <row r="24" spans="1:5" x14ac:dyDescent="0.3">
      <c r="A24" s="25" t="s">
        <v>160</v>
      </c>
      <c r="B24" s="3">
        <f>SUM(D2:D4)</f>
        <v>61.07</v>
      </c>
      <c r="C24" s="3">
        <f>SUM(E2:E4)</f>
        <v>76.47999999999999</v>
      </c>
      <c r="D24" s="3"/>
      <c r="E24" t="s">
        <v>161</v>
      </c>
    </row>
    <row r="25" spans="1:5" x14ac:dyDescent="0.3">
      <c r="A25" s="25" t="s">
        <v>167</v>
      </c>
      <c r="B25" s="3">
        <f>SUM(D5:D7)</f>
        <v>38.93</v>
      </c>
      <c r="C25" s="3">
        <f>SUM(E5:E7)</f>
        <v>23.509999999999998</v>
      </c>
      <c r="D25" s="12">
        <f>B25/C25</f>
        <v>1.6558911101658871</v>
      </c>
    </row>
    <row r="26" spans="1:5" x14ac:dyDescent="0.3">
      <c r="A26" s="25" t="s">
        <v>162</v>
      </c>
      <c r="B26" s="3">
        <f>SUM(D6:D7)</f>
        <v>15.82</v>
      </c>
      <c r="C26" s="3">
        <f>SUM(E6:E7)</f>
        <v>5.31</v>
      </c>
      <c r="D26" s="12">
        <f>B26/C26</f>
        <v>2.979284369114878</v>
      </c>
      <c r="E26" t="s">
        <v>163</v>
      </c>
    </row>
    <row r="27" spans="1:5" x14ac:dyDescent="0.3">
      <c r="A27" s="25"/>
    </row>
    <row r="28" spans="1:5" x14ac:dyDescent="0.3">
      <c r="A28" s="25"/>
    </row>
    <row r="29" spans="1:5" x14ac:dyDescent="0.3">
      <c r="A29" s="25"/>
    </row>
    <row r="30" spans="1:5" x14ac:dyDescent="0.3">
      <c r="A30" s="25"/>
    </row>
    <row r="31" spans="1:5" x14ac:dyDescent="0.3">
      <c r="A31" s="25"/>
    </row>
    <row r="32" spans="1:5" x14ac:dyDescent="0.3">
      <c r="A32" s="25"/>
    </row>
    <row r="33" spans="1:1" x14ac:dyDescent="0.3">
      <c r="A33" s="25"/>
    </row>
    <row r="34" spans="1:1" x14ac:dyDescent="0.3">
      <c r="A34" s="64"/>
    </row>
    <row r="35" spans="1:1" x14ac:dyDescent="0.3">
      <c r="A35" s="64"/>
    </row>
  </sheetData>
  <pageMargins left="0.7" right="0.7" top="0.75" bottom="0.75" header="0.3" footer="0.3"/>
  <pageSetup orientation="portrait" r:id="rId1"/>
  <ignoredErrors>
    <ignoredError sqref="B24:C24 B25:C2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BE4D-470E-48E6-83F6-66CC3ACDCAA8}">
  <dimension ref="A1:I500"/>
  <sheetViews>
    <sheetView tabSelected="1" workbookViewId="0">
      <selection activeCell="F29" sqref="F29:F30"/>
    </sheetView>
  </sheetViews>
  <sheetFormatPr defaultRowHeight="14.4" x14ac:dyDescent="0.3"/>
  <cols>
    <col min="1" max="1" width="29" customWidth="1"/>
    <col min="2" max="2" width="12.109375" style="3" bestFit="1" customWidth="1"/>
    <col min="3" max="3" width="14.109375" style="3" bestFit="1" customWidth="1"/>
    <col min="4" max="4" width="18.6640625" style="3" bestFit="1" customWidth="1"/>
    <col min="5" max="5" width="22.44140625" style="3" bestFit="1" customWidth="1"/>
    <col min="6" max="6" width="20.5546875" style="3" bestFit="1" customWidth="1"/>
    <col min="7" max="7" width="24.33203125" style="3" bestFit="1" customWidth="1"/>
  </cols>
  <sheetData>
    <row r="1" spans="1:9" s="5" customFormat="1" x14ac:dyDescent="0.3">
      <c r="A1" s="2" t="s">
        <v>9</v>
      </c>
      <c r="B1" s="2" t="s">
        <v>10</v>
      </c>
      <c r="C1" s="2" t="s">
        <v>11</v>
      </c>
      <c r="D1" s="20" t="s">
        <v>12</v>
      </c>
      <c r="E1" s="20" t="s">
        <v>41</v>
      </c>
      <c r="F1" s="20" t="s">
        <v>13</v>
      </c>
      <c r="G1" s="20" t="s">
        <v>42</v>
      </c>
      <c r="I1" s="60"/>
    </row>
    <row r="2" spans="1:9" x14ac:dyDescent="0.3">
      <c r="A2" s="3" t="s">
        <v>3</v>
      </c>
      <c r="B2" s="3">
        <v>228639</v>
      </c>
      <c r="C2" s="3">
        <v>505814</v>
      </c>
      <c r="D2" s="10">
        <v>1.5844907407407408E-2</v>
      </c>
      <c r="E2" s="22">
        <f>HOUR(D2)*3600+MINUTE(D2)*60+SECOND(D2)</f>
        <v>1369</v>
      </c>
      <c r="F2" s="10">
        <v>8.1018518518518514E-3</v>
      </c>
      <c r="G2" s="22">
        <f>HOUR(F2)*3600+MINUTE(F2)*60+SECOND(F2)</f>
        <v>700</v>
      </c>
    </row>
    <row r="3" spans="1:9" x14ac:dyDescent="0.3">
      <c r="A3" s="3" t="s">
        <v>7</v>
      </c>
      <c r="B3" s="3">
        <v>220926</v>
      </c>
      <c r="C3" s="3">
        <v>551807</v>
      </c>
      <c r="D3" s="10">
        <v>1.4143518518518519E-2</v>
      </c>
      <c r="E3" s="22">
        <f t="shared" ref="E3:E8" si="0">HOUR(D3)*3600+MINUTE(D3)*60+SECOND(D3)</f>
        <v>1222</v>
      </c>
      <c r="F3" s="10">
        <v>8.1481481481481474E-3</v>
      </c>
      <c r="G3" s="22">
        <f t="shared" ref="G3:G8" si="1">HOUR(F3)*3600+MINUTE(F3)*60+SECOND(F3)</f>
        <v>704</v>
      </c>
    </row>
    <row r="4" spans="1:9" x14ac:dyDescent="0.3">
      <c r="A4" s="3" t="s">
        <v>8</v>
      </c>
      <c r="B4" s="3">
        <v>223692</v>
      </c>
      <c r="C4" s="3">
        <v>542808</v>
      </c>
      <c r="D4" s="10">
        <v>1.3622685185185186E-2</v>
      </c>
      <c r="E4" s="22">
        <f t="shared" si="0"/>
        <v>1177</v>
      </c>
      <c r="F4" s="10">
        <v>8.0902777777777778E-3</v>
      </c>
      <c r="G4" s="22">
        <f t="shared" si="1"/>
        <v>699</v>
      </c>
    </row>
    <row r="5" spans="1:9" x14ac:dyDescent="0.3">
      <c r="A5" s="3" t="s">
        <v>6</v>
      </c>
      <c r="B5" s="3">
        <v>252143</v>
      </c>
      <c r="C5" s="3">
        <v>554736</v>
      </c>
      <c r="D5" s="10">
        <v>1.4270833333333333E-2</v>
      </c>
      <c r="E5" s="22">
        <f t="shared" si="0"/>
        <v>1233</v>
      </c>
      <c r="F5" s="10">
        <v>8.1712962962962963E-3</v>
      </c>
      <c r="G5" s="22">
        <f t="shared" si="1"/>
        <v>706</v>
      </c>
    </row>
    <row r="6" spans="1:9" x14ac:dyDescent="0.3">
      <c r="A6" s="3" t="s">
        <v>2</v>
      </c>
      <c r="B6" s="3">
        <v>310975</v>
      </c>
      <c r="C6" s="3">
        <v>513116</v>
      </c>
      <c r="D6" s="10">
        <v>1.59375E-2</v>
      </c>
      <c r="E6" s="22">
        <f t="shared" si="0"/>
        <v>1377</v>
      </c>
      <c r="F6" s="10">
        <v>8.4143518518518517E-3</v>
      </c>
      <c r="G6" s="22">
        <f t="shared" si="1"/>
        <v>727</v>
      </c>
    </row>
    <row r="7" spans="1:9" x14ac:dyDescent="0.3">
      <c r="A7" s="3" t="s">
        <v>4</v>
      </c>
      <c r="B7" s="3">
        <v>409488</v>
      </c>
      <c r="C7" s="3">
        <v>447104</v>
      </c>
      <c r="D7" s="10">
        <v>1.8310185185185186E-2</v>
      </c>
      <c r="E7" s="22">
        <f t="shared" si="0"/>
        <v>1582</v>
      </c>
      <c r="F7" s="10">
        <v>9.2592592592592587E-3</v>
      </c>
      <c r="G7" s="22">
        <f t="shared" si="1"/>
        <v>800</v>
      </c>
    </row>
    <row r="8" spans="1:9" x14ac:dyDescent="0.3">
      <c r="A8" s="3" t="s">
        <v>5</v>
      </c>
      <c r="B8" s="3">
        <v>346241</v>
      </c>
      <c r="C8" s="3">
        <v>393816</v>
      </c>
      <c r="D8" s="10">
        <v>1.8692129629629628E-2</v>
      </c>
      <c r="E8" s="22">
        <f t="shared" si="0"/>
        <v>1615</v>
      </c>
      <c r="F8" s="10">
        <v>9.3981481481481485E-3</v>
      </c>
      <c r="G8" s="22">
        <f t="shared" si="1"/>
        <v>812</v>
      </c>
    </row>
    <row r="9" spans="1:9" x14ac:dyDescent="0.3">
      <c r="A9" s="3"/>
      <c r="B9" s="7"/>
      <c r="C9" s="7"/>
      <c r="D9" s="21"/>
      <c r="E9" s="22"/>
      <c r="F9" s="21"/>
      <c r="G9" s="22"/>
    </row>
    <row r="10" spans="1:9" x14ac:dyDescent="0.3">
      <c r="A10" s="44" t="s">
        <v>164</v>
      </c>
      <c r="B10" s="46"/>
      <c r="C10" s="46"/>
      <c r="D10" s="46"/>
    </row>
    <row r="11" spans="1:9" x14ac:dyDescent="0.3">
      <c r="A11" s="16" t="s">
        <v>51</v>
      </c>
      <c r="B11" s="55" t="s">
        <v>47</v>
      </c>
      <c r="C11" s="56" t="s">
        <v>48</v>
      </c>
      <c r="D11" s="2" t="s">
        <v>95</v>
      </c>
      <c r="E11" s="2" t="s">
        <v>54</v>
      </c>
    </row>
    <row r="12" spans="1:9" x14ac:dyDescent="0.3">
      <c r="A12" s="14" t="s">
        <v>76</v>
      </c>
      <c r="B12" s="38">
        <f>SUM(B2:B8)</f>
        <v>1992104</v>
      </c>
      <c r="C12" s="38">
        <f>SUM(C2:C8)</f>
        <v>3509201</v>
      </c>
      <c r="E12" s="38"/>
      <c r="F12" s="38"/>
    </row>
    <row r="13" spans="1:9" x14ac:dyDescent="0.3">
      <c r="A13" s="14" t="s">
        <v>77</v>
      </c>
      <c r="B13" s="38">
        <f>AVERAGE(B2:B8)</f>
        <v>284586.28571428574</v>
      </c>
      <c r="C13" s="38">
        <f>AVERAGE(C2:C8)</f>
        <v>501314.42857142858</v>
      </c>
      <c r="E13" s="4"/>
    </row>
    <row r="14" spans="1:9" x14ac:dyDescent="0.3">
      <c r="A14" s="14" t="s">
        <v>78</v>
      </c>
      <c r="B14" s="38">
        <f>SUM(B2:B6)</f>
        <v>1236375</v>
      </c>
      <c r="C14" s="38">
        <f>SUM(C2:C6)</f>
        <v>2668281</v>
      </c>
      <c r="E14" s="4"/>
    </row>
    <row r="15" spans="1:9" x14ac:dyDescent="0.3">
      <c r="A15" s="14" t="s">
        <v>38</v>
      </c>
      <c r="B15" s="38">
        <f>MAX(B2:B6)</f>
        <v>310975</v>
      </c>
      <c r="C15" s="38">
        <f>MAX(C2:C6)</f>
        <v>554736</v>
      </c>
      <c r="E15" s="4"/>
    </row>
    <row r="16" spans="1:9" x14ac:dyDescent="0.3">
      <c r="A16" s="14" t="s">
        <v>39</v>
      </c>
      <c r="B16" s="38">
        <f>MIN(B2:B6)</f>
        <v>220926</v>
      </c>
      <c r="C16" s="38">
        <f>MIN(C2:C6)</f>
        <v>505814</v>
      </c>
      <c r="E16" s="4"/>
    </row>
    <row r="17" spans="1:6" x14ac:dyDescent="0.3">
      <c r="A17" s="14" t="s">
        <v>45</v>
      </c>
      <c r="B17" s="38">
        <f>AVERAGE(B2:B6)</f>
        <v>247275</v>
      </c>
      <c r="C17" s="38">
        <f>AVERAGE(C2:C6)</f>
        <v>533656.19999999995</v>
      </c>
      <c r="D17" s="12">
        <f>C17/B17</f>
        <v>2.158148619957537</v>
      </c>
      <c r="E17" s="4" t="s">
        <v>170</v>
      </c>
    </row>
    <row r="18" spans="1:6" x14ac:dyDescent="0.3">
      <c r="A18" s="37" t="s">
        <v>74</v>
      </c>
      <c r="B18" s="12">
        <f>(B14/B12)*100</f>
        <v>62.06377779473361</v>
      </c>
      <c r="C18" s="12">
        <f>(C14/C12)*100</f>
        <v>76.036710350874742</v>
      </c>
      <c r="E18" s="4" t="s">
        <v>82</v>
      </c>
    </row>
    <row r="19" spans="1:6" x14ac:dyDescent="0.3">
      <c r="A19" s="65" t="s">
        <v>172</v>
      </c>
      <c r="B19" s="12">
        <f>(B6-AVERAGE(B2:B5))/AVERAGE(B2:B5)*100</f>
        <v>34.417549167927383</v>
      </c>
      <c r="C19" s="12">
        <f>(C6-AVERAGE(C2:C5))/AVERAGE(C2:C5)*100</f>
        <v>-4.7653427927792071</v>
      </c>
      <c r="E19" s="4" t="s">
        <v>168</v>
      </c>
    </row>
    <row r="20" spans="1:6" x14ac:dyDescent="0.3">
      <c r="A20" s="37" t="s">
        <v>79</v>
      </c>
      <c r="B20" s="3">
        <f>SUM(B7:B8)</f>
        <v>755729</v>
      </c>
      <c r="C20" s="3">
        <f>SUM(C7:C8)</f>
        <v>840920</v>
      </c>
      <c r="E20" s="4"/>
    </row>
    <row r="21" spans="1:6" x14ac:dyDescent="0.3">
      <c r="A21" s="14" t="s">
        <v>43</v>
      </c>
      <c r="B21" s="3">
        <f>MAX(B7:B8)</f>
        <v>409488</v>
      </c>
      <c r="C21" s="3">
        <f>MAX(C7:C8)</f>
        <v>447104</v>
      </c>
      <c r="E21" s="4"/>
    </row>
    <row r="22" spans="1:6" x14ac:dyDescent="0.3">
      <c r="A22" s="14" t="s">
        <v>44</v>
      </c>
      <c r="B22" s="3">
        <f>MIN(B7:B8)</f>
        <v>346241</v>
      </c>
      <c r="C22" s="3">
        <f>MIN(C7:C8)</f>
        <v>393816</v>
      </c>
      <c r="E22" s="4"/>
    </row>
    <row r="23" spans="1:6" x14ac:dyDescent="0.3">
      <c r="A23" s="14" t="s">
        <v>46</v>
      </c>
      <c r="B23" s="38">
        <f>AVERAGE(B7:B8)</f>
        <v>377864.5</v>
      </c>
      <c r="C23" s="3">
        <f>AVERAGE(C7:C8)</f>
        <v>420460</v>
      </c>
      <c r="D23" s="12">
        <f>C23/B23</f>
        <v>1.1127269166592786</v>
      </c>
      <c r="E23" s="4" t="s">
        <v>171</v>
      </c>
    </row>
    <row r="24" spans="1:6" x14ac:dyDescent="0.3">
      <c r="A24" s="37" t="s">
        <v>75</v>
      </c>
      <c r="B24" s="12">
        <f>(B20/B12)*100</f>
        <v>37.93622220526639</v>
      </c>
      <c r="C24" s="12">
        <f>(C20/C12)*100</f>
        <v>23.963289649125258</v>
      </c>
      <c r="E24" s="4" t="s">
        <v>83</v>
      </c>
    </row>
    <row r="25" spans="1:6" x14ac:dyDescent="0.3">
      <c r="A25" s="14" t="s">
        <v>80</v>
      </c>
      <c r="B25" s="12">
        <f>(B23-B17)/B17*100</f>
        <v>52.811444747750478</v>
      </c>
      <c r="C25" s="12">
        <f>(C23-C17)/C17*100</f>
        <v>-21.211446620502105</v>
      </c>
      <c r="E25" s="4" t="s">
        <v>169</v>
      </c>
    </row>
    <row r="26" spans="1:6" x14ac:dyDescent="0.3">
      <c r="A26" s="14"/>
      <c r="B26" s="12"/>
      <c r="C26" s="12"/>
      <c r="E26" s="4"/>
    </row>
    <row r="27" spans="1:6" x14ac:dyDescent="0.3">
      <c r="A27" s="37"/>
      <c r="B27" s="12"/>
      <c r="C27" s="12"/>
      <c r="E27" s="13" t="s">
        <v>177</v>
      </c>
    </row>
    <row r="28" spans="1:6" x14ac:dyDescent="0.3">
      <c r="A28" s="37"/>
      <c r="B28" s="12"/>
      <c r="C28" s="12"/>
      <c r="E28" s="13" t="s">
        <v>178</v>
      </c>
    </row>
    <row r="29" spans="1:6" x14ac:dyDescent="0.3">
      <c r="A29" s="44" t="s">
        <v>165</v>
      </c>
      <c r="B29" s="46"/>
      <c r="C29" s="46"/>
      <c r="E29" s="46"/>
      <c r="F29" s="39" t="s">
        <v>86</v>
      </c>
    </row>
    <row r="30" spans="1:6" x14ac:dyDescent="0.3">
      <c r="A30" s="44" t="s">
        <v>51</v>
      </c>
      <c r="B30" s="44" t="s">
        <v>0</v>
      </c>
      <c r="C30" s="44" t="s">
        <v>73</v>
      </c>
      <c r="E30" s="44" t="s">
        <v>54</v>
      </c>
      <c r="F30" s="3">
        <v>86400</v>
      </c>
    </row>
    <row r="31" spans="1:6" x14ac:dyDescent="0.3">
      <c r="A31" s="14" t="s">
        <v>76</v>
      </c>
      <c r="B31" s="10">
        <f>(SUM(E2:E8))/$F$30</f>
        <v>0.11082175925925926</v>
      </c>
      <c r="C31" s="10">
        <f>SUM(G2:G8)/$F$30</f>
        <v>5.9583333333333335E-2</v>
      </c>
      <c r="D31" s="12">
        <f>B31/C31</f>
        <v>1.85994560994561</v>
      </c>
      <c r="E31" s="4" t="s">
        <v>173</v>
      </c>
    </row>
    <row r="32" spans="1:6" x14ac:dyDescent="0.3">
      <c r="A32" s="14" t="s">
        <v>77</v>
      </c>
      <c r="B32" s="10">
        <f>AVERAGE(E2:E8)/$F$30</f>
        <v>1.5831679894179895E-2</v>
      </c>
      <c r="C32" s="10">
        <f>AVERAGE(G2:G8)/$F$30</f>
        <v>8.5119047619047622E-3</v>
      </c>
      <c r="E32" s="4"/>
    </row>
    <row r="33" spans="1:5" x14ac:dyDescent="0.3">
      <c r="A33" s="14" t="s">
        <v>78</v>
      </c>
      <c r="B33" s="10">
        <f>SUM(E2:E6)/$F$30</f>
        <v>7.3819444444444438E-2</v>
      </c>
      <c r="C33" s="10">
        <f>SUM(G2:G6)/$F$30</f>
        <v>4.0925925925925928E-2</v>
      </c>
      <c r="E33" s="4"/>
    </row>
    <row r="34" spans="1:5" x14ac:dyDescent="0.3">
      <c r="A34" s="14" t="s">
        <v>38</v>
      </c>
      <c r="B34" s="10">
        <f>MAX(E2:E6)/$F$30</f>
        <v>1.59375E-2</v>
      </c>
      <c r="C34" s="10">
        <f>MAX(G2:G6)/$F$30</f>
        <v>8.4143518518518517E-3</v>
      </c>
      <c r="E34" s="4"/>
    </row>
    <row r="35" spans="1:5" x14ac:dyDescent="0.3">
      <c r="A35" s="14" t="s">
        <v>39</v>
      </c>
      <c r="B35" s="10">
        <f>MIN(E2:E6)/$F$30</f>
        <v>1.3622685185185186E-2</v>
      </c>
      <c r="C35" s="10">
        <f>MIN(G2:G6)/$F$30</f>
        <v>8.0902777777777778E-3</v>
      </c>
      <c r="D35" s="10">
        <f>C34-C35</f>
        <v>3.2407407407407385E-4</v>
      </c>
      <c r="E35" s="4" t="s">
        <v>174</v>
      </c>
    </row>
    <row r="36" spans="1:5" x14ac:dyDescent="0.3">
      <c r="A36" s="14" t="s">
        <v>85</v>
      </c>
      <c r="B36" s="10">
        <f>(MAX(E2:E6)-MIN(E2:E6))/$F$30</f>
        <v>2.3148148148148147E-3</v>
      </c>
      <c r="C36" s="10">
        <f>(MAX(G2:G6)-MIN(G2:G6))/$F$30</f>
        <v>3.2407407407407406E-4</v>
      </c>
      <c r="E36" s="4"/>
    </row>
    <row r="37" spans="1:5" x14ac:dyDescent="0.3">
      <c r="A37" s="14" t="s">
        <v>45</v>
      </c>
      <c r="B37" s="10">
        <f>AVERAGE(E2:E6)/$F$30</f>
        <v>1.4763888888888887E-2</v>
      </c>
      <c r="C37" s="10">
        <f>AVERAGE(G2:G6)/$F$30</f>
        <v>8.185185185185186E-3</v>
      </c>
      <c r="D37" s="12">
        <f>B37/C37</f>
        <v>1.8037330316742077</v>
      </c>
      <c r="E37" s="4" t="s">
        <v>175</v>
      </c>
    </row>
    <row r="38" spans="1:5" x14ac:dyDescent="0.3">
      <c r="A38" s="37" t="s">
        <v>79</v>
      </c>
      <c r="B38" s="10">
        <f>SUM(E7:E8)/$F$30</f>
        <v>3.7002314814814814E-2</v>
      </c>
      <c r="C38" s="10">
        <f>SUM(G7:G8)/$F$30</f>
        <v>1.8657407407407407E-2</v>
      </c>
      <c r="E38" s="4"/>
    </row>
    <row r="39" spans="1:5" x14ac:dyDescent="0.3">
      <c r="A39" s="14" t="s">
        <v>43</v>
      </c>
      <c r="B39" s="10">
        <f>MAX(E7:E8)/$F$30</f>
        <v>1.8692129629629628E-2</v>
      </c>
      <c r="C39" s="10">
        <f>MAX(G7:G8)/$F$30</f>
        <v>9.3981481481481485E-3</v>
      </c>
      <c r="E39" s="4"/>
    </row>
    <row r="40" spans="1:5" x14ac:dyDescent="0.3">
      <c r="A40" s="14" t="s">
        <v>44</v>
      </c>
      <c r="B40" s="10">
        <f>MIN(E7:E8)/$F$30</f>
        <v>1.8310185185185186E-2</v>
      </c>
      <c r="C40" s="10">
        <f>MIN(G7:G8)/$F$30</f>
        <v>9.2592592592592587E-3</v>
      </c>
      <c r="E40" s="4"/>
    </row>
    <row r="41" spans="1:5" x14ac:dyDescent="0.3">
      <c r="A41" s="14" t="s">
        <v>84</v>
      </c>
      <c r="B41" s="10">
        <f>(MAX(E7:E8)-MIN(E7:E8))/$F$30</f>
        <v>3.8194444444444446E-4</v>
      </c>
      <c r="C41" s="10">
        <f>((MAX(G7:G8)-MIN(G7:G8)))/$F$30</f>
        <v>1.3888888888888889E-4</v>
      </c>
      <c r="E41" s="4"/>
    </row>
    <row r="42" spans="1:5" x14ac:dyDescent="0.3">
      <c r="A42" s="14" t="s">
        <v>46</v>
      </c>
      <c r="B42" s="10">
        <f>AVERAGE(E7:E8)/$F$30</f>
        <v>1.8501157407407407E-2</v>
      </c>
      <c r="C42" s="10">
        <f>AVERAGE(G7:G8)/$F$30</f>
        <v>9.3287037037037036E-3</v>
      </c>
      <c r="D42" s="12">
        <f>B42/C42</f>
        <v>1.9832506203473945</v>
      </c>
      <c r="E42" s="4" t="s">
        <v>176</v>
      </c>
    </row>
    <row r="43" spans="1:5" x14ac:dyDescent="0.3">
      <c r="A43" s="14" t="s">
        <v>80</v>
      </c>
      <c r="B43" s="12">
        <f>((AVERAGE($E$7:$E$8)-AVERAGE($E$2:$E$6))/AVERAGE($E$2:$E$6))*100</f>
        <v>25.313577924114149</v>
      </c>
      <c r="C43" s="12">
        <f>((AVERAGE($G$7:$G$8)-AVERAGE($G$2:$G$6))/AVERAGE($G$2:$G$6))*100</f>
        <v>13.970588235294109</v>
      </c>
      <c r="E43" s="4"/>
    </row>
    <row r="44" spans="1:5" x14ac:dyDescent="0.3">
      <c r="A44" s="14" t="s">
        <v>81</v>
      </c>
      <c r="B44" s="12">
        <f>((E6-AVERAGE(E2:E5))/AVERAGE(E2:E5))*100</f>
        <v>10.137972405518896</v>
      </c>
      <c r="C44" s="12">
        <f>((G6-AVERAGE(G2:G5))/AVERAGE(G2:G5))*100</f>
        <v>3.5243859024563902</v>
      </c>
      <c r="E44" s="4"/>
    </row>
    <row r="45" spans="1:5" x14ac:dyDescent="0.3">
      <c r="A45" s="37"/>
      <c r="B45"/>
      <c r="C45"/>
      <c r="D45" s="12">
        <f>D8/F8</f>
        <v>1.9889162561576352</v>
      </c>
      <c r="E45" s="4" t="s">
        <v>87</v>
      </c>
    </row>
    <row r="46" spans="1:5" ht="18" x14ac:dyDescent="0.3">
      <c r="A46" s="27"/>
      <c r="B46"/>
      <c r="C46"/>
      <c r="E46"/>
    </row>
    <row r="47" spans="1:5" x14ac:dyDescent="0.3">
      <c r="A47" s="28"/>
      <c r="B47" s="28"/>
      <c r="C47" s="28"/>
      <c r="E47" s="13" t="s">
        <v>180</v>
      </c>
    </row>
    <row r="48" spans="1:5" x14ac:dyDescent="0.3">
      <c r="A48" s="33"/>
      <c r="B48" s="34"/>
      <c r="C48" s="34"/>
      <c r="D48" s="9"/>
      <c r="E48" s="13" t="s">
        <v>179</v>
      </c>
    </row>
    <row r="49" spans="1:4" x14ac:dyDescent="0.3">
      <c r="A49" s="33"/>
      <c r="B49" s="34"/>
      <c r="C49" s="34"/>
      <c r="D49" s="9"/>
    </row>
    <row r="50" spans="1:4" x14ac:dyDescent="0.3">
      <c r="A50" s="33"/>
      <c r="B50" s="35"/>
      <c r="C50" s="35"/>
      <c r="D50" s="33"/>
    </row>
    <row r="51" spans="1:4" x14ac:dyDescent="0.3">
      <c r="A51" s="33"/>
      <c r="B51" s="34"/>
      <c r="C51" s="34"/>
      <c r="D51" s="9"/>
    </row>
    <row r="52" spans="1:4" x14ac:dyDescent="0.3">
      <c r="A52" s="33"/>
      <c r="B52" s="9"/>
      <c r="C52" s="9"/>
      <c r="D52" s="9"/>
    </row>
    <row r="53" spans="1:4" x14ac:dyDescent="0.3">
      <c r="A53" s="33"/>
      <c r="B53" s="9"/>
      <c r="C53" s="9"/>
      <c r="D53" s="9"/>
    </row>
    <row r="54" spans="1:4" x14ac:dyDescent="0.3">
      <c r="B54"/>
      <c r="C54"/>
      <c r="D54"/>
    </row>
    <row r="55" spans="1:4" ht="18" x14ac:dyDescent="0.3">
      <c r="A55" s="27"/>
      <c r="B55"/>
      <c r="C55"/>
      <c r="D55"/>
    </row>
    <row r="56" spans="1:4" x14ac:dyDescent="0.3">
      <c r="B56"/>
      <c r="C56"/>
      <c r="D56"/>
    </row>
    <row r="57" spans="1:4" x14ac:dyDescent="0.3">
      <c r="A57" s="28"/>
      <c r="B57" s="28"/>
      <c r="C57" s="28"/>
      <c r="D57" s="28"/>
    </row>
    <row r="58" spans="1:4" x14ac:dyDescent="0.3">
      <c r="A58" s="33"/>
      <c r="B58" s="36"/>
      <c r="C58" s="36"/>
      <c r="D58" s="9"/>
    </row>
    <row r="59" spans="1:4" x14ac:dyDescent="0.3">
      <c r="A59" s="33"/>
      <c r="B59" s="11"/>
      <c r="C59" s="36"/>
      <c r="D59" s="9"/>
    </row>
    <row r="60" spans="1:4" x14ac:dyDescent="0.3">
      <c r="A60" s="33"/>
      <c r="B60" s="34"/>
      <c r="C60" s="34"/>
      <c r="D60" s="9"/>
    </row>
    <row r="61" spans="1:4" x14ac:dyDescent="0.3">
      <c r="A61" s="33"/>
      <c r="B61" s="36"/>
      <c r="C61" s="36"/>
      <c r="D61" s="9"/>
    </row>
    <row r="62" spans="1:4" x14ac:dyDescent="0.3">
      <c r="A62" s="33"/>
      <c r="B62" s="9"/>
      <c r="C62" s="9"/>
      <c r="D62" s="9"/>
    </row>
    <row r="63" spans="1:4" x14ac:dyDescent="0.3">
      <c r="A63" s="33"/>
      <c r="B63" s="9"/>
      <c r="C63" s="9"/>
      <c r="D63" s="9"/>
    </row>
    <row r="64" spans="1:4" x14ac:dyDescent="0.3">
      <c r="B64"/>
      <c r="C64"/>
      <c r="D64"/>
    </row>
    <row r="65" spans="1:4" x14ac:dyDescent="0.3">
      <c r="B65"/>
      <c r="C65"/>
      <c r="D65"/>
    </row>
    <row r="66" spans="1:4" x14ac:dyDescent="0.3">
      <c r="B66"/>
      <c r="C66"/>
      <c r="D66"/>
    </row>
    <row r="67" spans="1:4" x14ac:dyDescent="0.3">
      <c r="B67"/>
      <c r="C67"/>
      <c r="D67"/>
    </row>
    <row r="68" spans="1:4" x14ac:dyDescent="0.3">
      <c r="B68"/>
      <c r="C68"/>
      <c r="D68"/>
    </row>
    <row r="69" spans="1:4" x14ac:dyDescent="0.3">
      <c r="B69"/>
      <c r="C69"/>
      <c r="D69"/>
    </row>
    <row r="70" spans="1:4" x14ac:dyDescent="0.3">
      <c r="B70"/>
      <c r="C70"/>
      <c r="D70"/>
    </row>
    <row r="71" spans="1:4" x14ac:dyDescent="0.3">
      <c r="B71"/>
      <c r="C71"/>
      <c r="D71"/>
    </row>
    <row r="72" spans="1:4" x14ac:dyDescent="0.3">
      <c r="B72"/>
      <c r="C72"/>
      <c r="D72"/>
    </row>
    <row r="73" spans="1:4" x14ac:dyDescent="0.3">
      <c r="B73"/>
      <c r="C73"/>
      <c r="D73"/>
    </row>
    <row r="74" spans="1:4" x14ac:dyDescent="0.3">
      <c r="B74"/>
      <c r="C74"/>
      <c r="D74"/>
    </row>
    <row r="75" spans="1:4" x14ac:dyDescent="0.3">
      <c r="B75"/>
      <c r="C75"/>
      <c r="D75"/>
    </row>
    <row r="76" spans="1:4" x14ac:dyDescent="0.3">
      <c r="B76"/>
      <c r="C76"/>
      <c r="D76"/>
    </row>
    <row r="77" spans="1:4" x14ac:dyDescent="0.3">
      <c r="B77"/>
      <c r="C77"/>
      <c r="D77"/>
    </row>
    <row r="78" spans="1:4" x14ac:dyDescent="0.3">
      <c r="B78"/>
      <c r="C78"/>
      <c r="D78"/>
    </row>
    <row r="79" spans="1:4" ht="23.4" x14ac:dyDescent="0.3">
      <c r="A79" s="17"/>
      <c r="B79"/>
      <c r="C79"/>
      <c r="D79"/>
    </row>
    <row r="80" spans="1:4" x14ac:dyDescent="0.3">
      <c r="B80"/>
      <c r="C80"/>
      <c r="D80"/>
    </row>
    <row r="81" spans="1:4" x14ac:dyDescent="0.3">
      <c r="A81" s="5"/>
      <c r="B81"/>
      <c r="C81"/>
      <c r="D81"/>
    </row>
    <row r="82" spans="1:4" x14ac:dyDescent="0.3">
      <c r="B82"/>
      <c r="C82"/>
      <c r="D82"/>
    </row>
    <row r="83" spans="1:4" x14ac:dyDescent="0.3">
      <c r="A83" s="5"/>
      <c r="B83"/>
      <c r="C83"/>
      <c r="D83"/>
    </row>
    <row r="84" spans="1:4" x14ac:dyDescent="0.3">
      <c r="A84" s="18"/>
      <c r="B84"/>
      <c r="C84"/>
      <c r="D84"/>
    </row>
    <row r="85" spans="1:4" x14ac:dyDescent="0.3">
      <c r="A85" s="18"/>
      <c r="B85"/>
      <c r="C85"/>
      <c r="D85"/>
    </row>
    <row r="86" spans="1:4" x14ac:dyDescent="0.3">
      <c r="A86" s="18"/>
      <c r="B86"/>
      <c r="C86"/>
      <c r="D86"/>
    </row>
    <row r="87" spans="1:4" x14ac:dyDescent="0.3">
      <c r="B87"/>
      <c r="C87"/>
      <c r="D87"/>
    </row>
    <row r="88" spans="1:4" x14ac:dyDescent="0.3">
      <c r="A88" s="5"/>
      <c r="B88"/>
      <c r="C88"/>
      <c r="D88"/>
    </row>
    <row r="89" spans="1:4" x14ac:dyDescent="0.3">
      <c r="A89" s="18"/>
      <c r="B89"/>
      <c r="C89"/>
      <c r="D89"/>
    </row>
    <row r="90" spans="1:4" x14ac:dyDescent="0.3">
      <c r="A90" s="18"/>
      <c r="B90"/>
      <c r="C90"/>
      <c r="D90"/>
    </row>
    <row r="91" spans="1:4" x14ac:dyDescent="0.3">
      <c r="A91" s="18"/>
      <c r="B91"/>
      <c r="C91"/>
      <c r="D91"/>
    </row>
    <row r="92" spans="1:4" x14ac:dyDescent="0.3">
      <c r="B92"/>
      <c r="C92"/>
      <c r="D92"/>
    </row>
    <row r="93" spans="1:4" x14ac:dyDescent="0.3">
      <c r="A93" s="5"/>
      <c r="B93"/>
      <c r="C93"/>
      <c r="D93"/>
    </row>
    <row r="94" spans="1:4" x14ac:dyDescent="0.3">
      <c r="A94" s="18"/>
      <c r="B94"/>
      <c r="C94"/>
      <c r="D94"/>
    </row>
    <row r="95" spans="1:4" x14ac:dyDescent="0.3">
      <c r="A95" s="18"/>
      <c r="B95"/>
      <c r="C95"/>
      <c r="D95"/>
    </row>
    <row r="96" spans="1:4" x14ac:dyDescent="0.3">
      <c r="A96" s="18"/>
      <c r="B96"/>
      <c r="C96"/>
      <c r="D96"/>
    </row>
    <row r="97" spans="1:4" x14ac:dyDescent="0.3">
      <c r="B97"/>
      <c r="C97"/>
      <c r="D97"/>
    </row>
    <row r="98" spans="1:4" ht="23.4" x14ac:dyDescent="0.3">
      <c r="A98" s="17"/>
      <c r="B98"/>
      <c r="C98"/>
      <c r="D98"/>
    </row>
    <row r="99" spans="1:4" x14ac:dyDescent="0.3">
      <c r="B99"/>
      <c r="C99"/>
      <c r="D99"/>
    </row>
    <row r="100" spans="1:4" ht="18" x14ac:dyDescent="0.3">
      <c r="A100" s="27"/>
      <c r="B100"/>
      <c r="C100"/>
      <c r="D100"/>
    </row>
    <row r="101" spans="1:4" x14ac:dyDescent="0.3">
      <c r="A101" s="18"/>
      <c r="B101"/>
      <c r="C101"/>
      <c r="D101"/>
    </row>
    <row r="102" spans="1:4" x14ac:dyDescent="0.3">
      <c r="A102" s="19"/>
      <c r="B102"/>
      <c r="C102"/>
      <c r="D102"/>
    </row>
    <row r="103" spans="1:4" x14ac:dyDescent="0.3">
      <c r="A103" s="19"/>
      <c r="B103"/>
      <c r="C103"/>
      <c r="D103"/>
    </row>
    <row r="104" spans="1:4" x14ac:dyDescent="0.3">
      <c r="A104" s="19"/>
      <c r="B104"/>
      <c r="C104"/>
      <c r="D104"/>
    </row>
    <row r="105" spans="1:4" x14ac:dyDescent="0.3">
      <c r="A105" s="19"/>
      <c r="B105"/>
      <c r="C105"/>
      <c r="D105"/>
    </row>
    <row r="106" spans="1:4" x14ac:dyDescent="0.3">
      <c r="A106" s="19"/>
      <c r="B106"/>
      <c r="C106"/>
      <c r="D106"/>
    </row>
    <row r="107" spans="1:4" x14ac:dyDescent="0.3">
      <c r="B107"/>
      <c r="C107"/>
      <c r="D107"/>
    </row>
    <row r="108" spans="1:4" ht="18" x14ac:dyDescent="0.3">
      <c r="A108" s="27"/>
      <c r="B108"/>
      <c r="C108"/>
      <c r="D108"/>
    </row>
    <row r="109" spans="1:4" x14ac:dyDescent="0.3">
      <c r="A109" s="18"/>
      <c r="B109"/>
      <c r="C109"/>
      <c r="D109"/>
    </row>
    <row r="110" spans="1:4" x14ac:dyDescent="0.3">
      <c r="A110" s="19"/>
      <c r="B110"/>
      <c r="C110"/>
      <c r="D110"/>
    </row>
    <row r="111" spans="1:4" x14ac:dyDescent="0.3">
      <c r="A111" s="19"/>
      <c r="B111"/>
      <c r="C111"/>
      <c r="D111"/>
    </row>
    <row r="112" spans="1:4" x14ac:dyDescent="0.3">
      <c r="A112" s="19"/>
      <c r="B112"/>
      <c r="C112"/>
      <c r="D112"/>
    </row>
    <row r="113" spans="1:4" x14ac:dyDescent="0.3">
      <c r="A113" s="19"/>
      <c r="B113"/>
      <c r="C113"/>
      <c r="D113"/>
    </row>
    <row r="114" spans="1:4" x14ac:dyDescent="0.3">
      <c r="A114" s="19"/>
      <c r="B114"/>
      <c r="C114"/>
      <c r="D114"/>
    </row>
    <row r="115" spans="1:4" x14ac:dyDescent="0.3">
      <c r="B115"/>
      <c r="C115"/>
      <c r="D115"/>
    </row>
    <row r="116" spans="1:4" x14ac:dyDescent="0.3">
      <c r="A116" s="5"/>
      <c r="B116"/>
      <c r="C116"/>
      <c r="D116"/>
    </row>
    <row r="117" spans="1:4" x14ac:dyDescent="0.3">
      <c r="A117" s="18"/>
      <c r="B117"/>
      <c r="C117"/>
      <c r="D117"/>
    </row>
    <row r="118" spans="1:4" x14ac:dyDescent="0.3">
      <c r="A118" s="18"/>
      <c r="B118"/>
      <c r="C118"/>
      <c r="D118"/>
    </row>
    <row r="119" spans="1:4" x14ac:dyDescent="0.3">
      <c r="A119" s="18"/>
      <c r="B119"/>
      <c r="C119"/>
      <c r="D119"/>
    </row>
    <row r="120" spans="1:4" x14ac:dyDescent="0.3">
      <c r="A120" s="18"/>
      <c r="B120"/>
      <c r="C120"/>
      <c r="D120"/>
    </row>
    <row r="121" spans="1:4" x14ac:dyDescent="0.3">
      <c r="B121"/>
      <c r="C121"/>
      <c r="D121"/>
    </row>
    <row r="122" spans="1:4" ht="23.4" x14ac:dyDescent="0.3">
      <c r="A122" s="17"/>
      <c r="B122"/>
      <c r="C122"/>
      <c r="D122"/>
    </row>
    <row r="123" spans="1:4" x14ac:dyDescent="0.3">
      <c r="B123"/>
      <c r="C123"/>
      <c r="D123"/>
    </row>
    <row r="124" spans="1:4" ht="18" x14ac:dyDescent="0.3">
      <c r="A124" s="27"/>
      <c r="B124"/>
      <c r="C124"/>
      <c r="D124"/>
    </row>
    <row r="125" spans="1:4" x14ac:dyDescent="0.3">
      <c r="A125" s="18"/>
      <c r="B125"/>
      <c r="C125"/>
      <c r="D125"/>
    </row>
    <row r="126" spans="1:4" x14ac:dyDescent="0.3">
      <c r="A126" s="19"/>
      <c r="B126"/>
      <c r="C126"/>
      <c r="D126"/>
    </row>
    <row r="127" spans="1:4" x14ac:dyDescent="0.3">
      <c r="A127" s="19"/>
      <c r="B127"/>
      <c r="C127"/>
      <c r="D127"/>
    </row>
    <row r="128" spans="1:4" x14ac:dyDescent="0.3">
      <c r="A128" s="19"/>
      <c r="B128"/>
      <c r="C128"/>
      <c r="D128"/>
    </row>
    <row r="129" spans="1:4" x14ac:dyDescent="0.3">
      <c r="A129" s="19"/>
      <c r="B129"/>
      <c r="C129"/>
      <c r="D129"/>
    </row>
    <row r="130" spans="1:4" x14ac:dyDescent="0.3">
      <c r="B130"/>
      <c r="C130"/>
      <c r="D130"/>
    </row>
    <row r="131" spans="1:4" ht="18" x14ac:dyDescent="0.3">
      <c r="A131" s="27"/>
      <c r="B131"/>
      <c r="C131"/>
      <c r="D131"/>
    </row>
    <row r="132" spans="1:4" x14ac:dyDescent="0.3">
      <c r="A132" s="18"/>
      <c r="B132"/>
      <c r="C132"/>
      <c r="D132"/>
    </row>
    <row r="133" spans="1:4" x14ac:dyDescent="0.3">
      <c r="A133" s="19"/>
      <c r="B133"/>
      <c r="C133"/>
      <c r="D133"/>
    </row>
    <row r="134" spans="1:4" x14ac:dyDescent="0.3">
      <c r="A134" s="19"/>
      <c r="B134"/>
      <c r="C134"/>
      <c r="D134"/>
    </row>
    <row r="135" spans="1:4" x14ac:dyDescent="0.3">
      <c r="A135" s="19"/>
      <c r="B135"/>
      <c r="C135"/>
      <c r="D135"/>
    </row>
    <row r="136" spans="1:4" x14ac:dyDescent="0.3">
      <c r="A136" s="19"/>
      <c r="B136"/>
      <c r="C136"/>
      <c r="D136"/>
    </row>
    <row r="137" spans="1:4" x14ac:dyDescent="0.3">
      <c r="B137"/>
      <c r="C137"/>
      <c r="D137"/>
    </row>
    <row r="138" spans="1:4" x14ac:dyDescent="0.3">
      <c r="A138" s="5"/>
      <c r="B138"/>
      <c r="C138"/>
      <c r="D138"/>
    </row>
    <row r="139" spans="1:4" x14ac:dyDescent="0.3">
      <c r="A139" s="18"/>
      <c r="B139"/>
      <c r="C139"/>
      <c r="D139"/>
    </row>
    <row r="140" spans="1:4" x14ac:dyDescent="0.3">
      <c r="A140" s="19"/>
      <c r="B140"/>
      <c r="C140"/>
      <c r="D140"/>
    </row>
    <row r="141" spans="1:4" x14ac:dyDescent="0.3">
      <c r="A141" s="19"/>
      <c r="B141"/>
      <c r="C141"/>
      <c r="D141"/>
    </row>
    <row r="142" spans="1:4" x14ac:dyDescent="0.3">
      <c r="B142"/>
      <c r="C142"/>
      <c r="D142"/>
    </row>
    <row r="143" spans="1:4" ht="23.4" x14ac:dyDescent="0.3">
      <c r="A143" s="17"/>
      <c r="B143"/>
      <c r="C143"/>
      <c r="D143"/>
    </row>
    <row r="144" spans="1:4" x14ac:dyDescent="0.3">
      <c r="B144"/>
      <c r="C144"/>
      <c r="D144"/>
    </row>
    <row r="145" spans="1:4" ht="18" x14ac:dyDescent="0.3">
      <c r="A145" s="27"/>
      <c r="B145"/>
      <c r="C145"/>
      <c r="D145"/>
    </row>
    <row r="146" spans="1:4" x14ac:dyDescent="0.3">
      <c r="B146"/>
      <c r="C146"/>
      <c r="D146"/>
    </row>
    <row r="147" spans="1:4" x14ac:dyDescent="0.3">
      <c r="A147" s="5"/>
      <c r="B147"/>
      <c r="C147"/>
      <c r="D147"/>
    </row>
    <row r="148" spans="1:4" x14ac:dyDescent="0.3">
      <c r="A148" s="18"/>
      <c r="B148"/>
      <c r="C148"/>
      <c r="D148"/>
    </row>
    <row r="149" spans="1:4" x14ac:dyDescent="0.3">
      <c r="A149" s="18"/>
      <c r="B149"/>
      <c r="C149"/>
      <c r="D149"/>
    </row>
    <row r="150" spans="1:4" x14ac:dyDescent="0.3">
      <c r="A150" s="19"/>
      <c r="B150"/>
      <c r="C150"/>
      <c r="D150"/>
    </row>
    <row r="151" spans="1:4" x14ac:dyDescent="0.3">
      <c r="B151"/>
      <c r="C151"/>
      <c r="D151"/>
    </row>
    <row r="152" spans="1:4" x14ac:dyDescent="0.3">
      <c r="A152" s="5"/>
      <c r="B152"/>
      <c r="C152"/>
      <c r="D152"/>
    </row>
    <row r="153" spans="1:4" x14ac:dyDescent="0.3">
      <c r="A153" s="18"/>
      <c r="B153"/>
      <c r="C153"/>
      <c r="D153"/>
    </row>
    <row r="154" spans="1:4" x14ac:dyDescent="0.3">
      <c r="A154" s="18"/>
      <c r="B154"/>
      <c r="C154"/>
      <c r="D154"/>
    </row>
    <row r="155" spans="1:4" x14ac:dyDescent="0.3">
      <c r="A155" s="19"/>
      <c r="B155"/>
      <c r="C155"/>
      <c r="D155"/>
    </row>
    <row r="156" spans="1:4" x14ac:dyDescent="0.3">
      <c r="B156"/>
      <c r="C156"/>
      <c r="D156"/>
    </row>
    <row r="157" spans="1:4" x14ac:dyDescent="0.3">
      <c r="A157" s="5"/>
      <c r="B157"/>
      <c r="C157"/>
      <c r="D157"/>
    </row>
    <row r="158" spans="1:4" x14ac:dyDescent="0.3">
      <c r="A158" s="18"/>
      <c r="B158"/>
      <c r="C158"/>
      <c r="D158"/>
    </row>
    <row r="159" spans="1:4" x14ac:dyDescent="0.3">
      <c r="A159" s="18"/>
      <c r="B159"/>
      <c r="C159"/>
      <c r="D159"/>
    </row>
    <row r="160" spans="1:4" x14ac:dyDescent="0.3">
      <c r="A160" s="19"/>
      <c r="B160"/>
      <c r="C160"/>
      <c r="D160"/>
    </row>
    <row r="161" spans="1:4" x14ac:dyDescent="0.3">
      <c r="B161"/>
      <c r="C161"/>
      <c r="D161"/>
    </row>
    <row r="162" spans="1:4" x14ac:dyDescent="0.3">
      <c r="A162" s="5"/>
      <c r="B162"/>
      <c r="C162"/>
      <c r="D162"/>
    </row>
    <row r="163" spans="1:4" x14ac:dyDescent="0.3">
      <c r="A163" s="18"/>
      <c r="B163"/>
      <c r="C163"/>
      <c r="D163"/>
    </row>
    <row r="164" spans="1:4" x14ac:dyDescent="0.3">
      <c r="A164" s="18"/>
      <c r="B164"/>
      <c r="C164"/>
      <c r="D164"/>
    </row>
    <row r="165" spans="1:4" x14ac:dyDescent="0.3">
      <c r="A165" s="19"/>
      <c r="B165"/>
      <c r="C165"/>
      <c r="D165"/>
    </row>
    <row r="166" spans="1:4" x14ac:dyDescent="0.3">
      <c r="B166"/>
      <c r="C166"/>
      <c r="D166"/>
    </row>
    <row r="167" spans="1:4" x14ac:dyDescent="0.3">
      <c r="A167" s="5"/>
      <c r="B167"/>
      <c r="C167"/>
      <c r="D167"/>
    </row>
    <row r="168" spans="1:4" x14ac:dyDescent="0.3">
      <c r="A168" s="18"/>
      <c r="B168"/>
      <c r="C168"/>
      <c r="D168"/>
    </row>
    <row r="169" spans="1:4" x14ac:dyDescent="0.3">
      <c r="A169" s="18"/>
      <c r="B169"/>
      <c r="C169"/>
      <c r="D169"/>
    </row>
    <row r="170" spans="1:4" x14ac:dyDescent="0.3">
      <c r="A170" s="19"/>
      <c r="B170"/>
      <c r="C170"/>
      <c r="D170"/>
    </row>
    <row r="171" spans="1:4" x14ac:dyDescent="0.3">
      <c r="B171"/>
      <c r="C171"/>
      <c r="D171"/>
    </row>
    <row r="172" spans="1:4" x14ac:dyDescent="0.3">
      <c r="A172" s="5"/>
      <c r="B172"/>
      <c r="C172"/>
      <c r="D172"/>
    </row>
    <row r="173" spans="1:4" x14ac:dyDescent="0.3">
      <c r="B173"/>
      <c r="C173"/>
      <c r="D173"/>
    </row>
    <row r="174" spans="1:4" ht="18" x14ac:dyDescent="0.3">
      <c r="A174" s="27"/>
      <c r="B174"/>
      <c r="C174"/>
      <c r="D174"/>
    </row>
    <row r="175" spans="1:4" x14ac:dyDescent="0.3">
      <c r="B175"/>
      <c r="C175"/>
      <c r="D175"/>
    </row>
    <row r="176" spans="1:4" x14ac:dyDescent="0.3">
      <c r="A176" s="5"/>
      <c r="B176"/>
      <c r="C176"/>
      <c r="D176"/>
    </row>
    <row r="177" spans="1:4" x14ac:dyDescent="0.3">
      <c r="A177" s="18"/>
      <c r="B177"/>
      <c r="C177"/>
      <c r="D177"/>
    </row>
    <row r="178" spans="1:4" x14ac:dyDescent="0.3">
      <c r="A178" s="18"/>
      <c r="B178"/>
      <c r="C178"/>
      <c r="D178"/>
    </row>
    <row r="179" spans="1:4" x14ac:dyDescent="0.3">
      <c r="A179" s="19"/>
      <c r="B179"/>
      <c r="C179"/>
      <c r="D179"/>
    </row>
    <row r="180" spans="1:4" x14ac:dyDescent="0.3">
      <c r="A180" s="18"/>
      <c r="B180"/>
      <c r="C180"/>
      <c r="D180"/>
    </row>
    <row r="181" spans="1:4" x14ac:dyDescent="0.3">
      <c r="B181"/>
      <c r="C181"/>
      <c r="D181"/>
    </row>
    <row r="182" spans="1:4" x14ac:dyDescent="0.3">
      <c r="A182" s="5"/>
      <c r="B182"/>
      <c r="C182"/>
      <c r="D182"/>
    </row>
    <row r="183" spans="1:4" x14ac:dyDescent="0.3">
      <c r="A183" s="18"/>
      <c r="B183"/>
      <c r="C183"/>
      <c r="D183"/>
    </row>
    <row r="184" spans="1:4" x14ac:dyDescent="0.3">
      <c r="A184" s="18"/>
      <c r="B184"/>
      <c r="C184"/>
      <c r="D184"/>
    </row>
    <row r="185" spans="1:4" x14ac:dyDescent="0.3">
      <c r="A185" s="19"/>
      <c r="B185"/>
      <c r="C185"/>
      <c r="D185"/>
    </row>
    <row r="186" spans="1:4" x14ac:dyDescent="0.3">
      <c r="A186" s="18"/>
      <c r="B186"/>
      <c r="C186"/>
      <c r="D186"/>
    </row>
    <row r="187" spans="1:4" x14ac:dyDescent="0.3">
      <c r="B187"/>
      <c r="C187"/>
      <c r="D187"/>
    </row>
    <row r="188" spans="1:4" x14ac:dyDescent="0.3">
      <c r="A188" s="5"/>
      <c r="B188"/>
      <c r="C188"/>
      <c r="D188"/>
    </row>
    <row r="189" spans="1:4" x14ac:dyDescent="0.3">
      <c r="B189"/>
      <c r="C189"/>
      <c r="D189"/>
    </row>
    <row r="190" spans="1:4" x14ac:dyDescent="0.3">
      <c r="A190" s="5"/>
      <c r="B190"/>
      <c r="C190"/>
      <c r="D190"/>
    </row>
    <row r="191" spans="1:4" x14ac:dyDescent="0.3">
      <c r="B191"/>
      <c r="C191"/>
      <c r="D191"/>
    </row>
    <row r="192" spans="1:4" ht="23.4" x14ac:dyDescent="0.3">
      <c r="A192" s="17"/>
      <c r="B192"/>
      <c r="C192"/>
      <c r="D192"/>
    </row>
    <row r="193" spans="1:4" x14ac:dyDescent="0.3">
      <c r="B193"/>
      <c r="C193"/>
      <c r="D193"/>
    </row>
    <row r="194" spans="1:4" ht="18" x14ac:dyDescent="0.3">
      <c r="A194" s="27"/>
      <c r="B194"/>
      <c r="C194"/>
      <c r="D194"/>
    </row>
    <row r="195" spans="1:4" x14ac:dyDescent="0.3">
      <c r="A195" s="18"/>
      <c r="B195"/>
      <c r="C195"/>
      <c r="D195"/>
    </row>
    <row r="196" spans="1:4" x14ac:dyDescent="0.3">
      <c r="A196" s="18"/>
      <c r="B196"/>
      <c r="C196"/>
      <c r="D196"/>
    </row>
    <row r="197" spans="1:4" x14ac:dyDescent="0.3">
      <c r="A197" s="18"/>
      <c r="B197"/>
      <c r="C197"/>
      <c r="D197"/>
    </row>
    <row r="198" spans="1:4" x14ac:dyDescent="0.3">
      <c r="A198" s="18"/>
      <c r="B198"/>
      <c r="C198"/>
      <c r="D198"/>
    </row>
    <row r="199" spans="1:4" x14ac:dyDescent="0.3">
      <c r="A199" s="18"/>
      <c r="B199"/>
      <c r="C199"/>
      <c r="D199"/>
    </row>
    <row r="200" spans="1:4" x14ac:dyDescent="0.3">
      <c r="A200" s="18"/>
      <c r="B200"/>
      <c r="C200"/>
      <c r="D200"/>
    </row>
    <row r="201" spans="1:4" x14ac:dyDescent="0.3">
      <c r="A201" s="18"/>
      <c r="B201"/>
      <c r="C201"/>
      <c r="D201"/>
    </row>
    <row r="202" spans="1:4" x14ac:dyDescent="0.3">
      <c r="A202" s="18"/>
      <c r="B202"/>
      <c r="C202"/>
      <c r="D202"/>
    </row>
    <row r="203" spans="1:4" x14ac:dyDescent="0.3">
      <c r="B203"/>
      <c r="C203"/>
      <c r="D203"/>
    </row>
    <row r="204" spans="1:4" ht="18" x14ac:dyDescent="0.3">
      <c r="A204" s="27"/>
      <c r="B204"/>
      <c r="C204"/>
      <c r="D204"/>
    </row>
    <row r="205" spans="1:4" x14ac:dyDescent="0.3">
      <c r="B205"/>
      <c r="C205"/>
      <c r="D205"/>
    </row>
    <row r="206" spans="1:4" x14ac:dyDescent="0.3">
      <c r="A206" s="5"/>
      <c r="B206"/>
      <c r="C206"/>
      <c r="D206"/>
    </row>
    <row r="207" spans="1:4" x14ac:dyDescent="0.3">
      <c r="A207" s="18"/>
      <c r="B207"/>
      <c r="C207"/>
      <c r="D207"/>
    </row>
    <row r="208" spans="1:4" x14ac:dyDescent="0.3">
      <c r="A208" s="19"/>
      <c r="B208"/>
      <c r="C208"/>
      <c r="D208"/>
    </row>
    <row r="209" spans="1:4" x14ac:dyDescent="0.3">
      <c r="A209" s="19"/>
      <c r="B209"/>
      <c r="C209"/>
      <c r="D209"/>
    </row>
    <row r="210" spans="1:4" x14ac:dyDescent="0.3">
      <c r="A210" s="19"/>
      <c r="B210"/>
      <c r="C210"/>
      <c r="D210"/>
    </row>
    <row r="211" spans="1:4" x14ac:dyDescent="0.3">
      <c r="A211" s="19"/>
      <c r="B211"/>
      <c r="C211"/>
      <c r="D211"/>
    </row>
    <row r="212" spans="1:4" x14ac:dyDescent="0.3">
      <c r="A212" s="19"/>
      <c r="B212"/>
      <c r="C212"/>
      <c r="D212"/>
    </row>
    <row r="213" spans="1:4" x14ac:dyDescent="0.3">
      <c r="A213" s="19"/>
      <c r="B213"/>
      <c r="C213"/>
      <c r="D213"/>
    </row>
    <row r="214" spans="1:4" x14ac:dyDescent="0.3">
      <c r="B214"/>
      <c r="C214"/>
      <c r="D214"/>
    </row>
    <row r="215" spans="1:4" x14ac:dyDescent="0.3">
      <c r="A215" s="5"/>
      <c r="B215"/>
      <c r="C215"/>
      <c r="D215"/>
    </row>
    <row r="216" spans="1:4" x14ac:dyDescent="0.3">
      <c r="A216" s="18"/>
      <c r="B216"/>
      <c r="C216"/>
      <c r="D216"/>
    </row>
    <row r="217" spans="1:4" x14ac:dyDescent="0.3">
      <c r="A217" s="19"/>
      <c r="B217"/>
      <c r="C217"/>
      <c r="D217"/>
    </row>
    <row r="218" spans="1:4" x14ac:dyDescent="0.3">
      <c r="A218" s="19"/>
      <c r="B218"/>
      <c r="C218"/>
      <c r="D218"/>
    </row>
    <row r="219" spans="1:4" x14ac:dyDescent="0.3">
      <c r="A219" s="19"/>
      <c r="B219"/>
      <c r="C219"/>
      <c r="D219"/>
    </row>
    <row r="220" spans="1:4" x14ac:dyDescent="0.3">
      <c r="A220" s="19"/>
      <c r="B220"/>
      <c r="C220"/>
      <c r="D220"/>
    </row>
    <row r="221" spans="1:4" x14ac:dyDescent="0.3">
      <c r="A221" s="19"/>
      <c r="B221"/>
      <c r="C221"/>
      <c r="D221"/>
    </row>
    <row r="222" spans="1:4" x14ac:dyDescent="0.3">
      <c r="A222" s="19"/>
      <c r="B222"/>
      <c r="C222"/>
      <c r="D222"/>
    </row>
    <row r="223" spans="1:4" x14ac:dyDescent="0.3">
      <c r="B223"/>
      <c r="C223"/>
      <c r="D223"/>
    </row>
    <row r="224" spans="1:4" x14ac:dyDescent="0.3">
      <c r="A224" s="5"/>
      <c r="B224"/>
      <c r="C224"/>
      <c r="D224"/>
    </row>
    <row r="225" spans="1:4" x14ac:dyDescent="0.3">
      <c r="A225" s="18"/>
      <c r="B225"/>
      <c r="C225"/>
      <c r="D225"/>
    </row>
    <row r="226" spans="1:4" x14ac:dyDescent="0.3">
      <c r="A226" s="19"/>
      <c r="B226"/>
      <c r="C226"/>
      <c r="D226"/>
    </row>
    <row r="227" spans="1:4" x14ac:dyDescent="0.3">
      <c r="A227" s="19"/>
      <c r="B227"/>
      <c r="C227"/>
      <c r="D227"/>
    </row>
    <row r="228" spans="1:4" x14ac:dyDescent="0.3">
      <c r="A228" s="18"/>
      <c r="B228"/>
      <c r="C228"/>
      <c r="D228"/>
    </row>
    <row r="229" spans="1:4" x14ac:dyDescent="0.3">
      <c r="B229"/>
      <c r="C229"/>
      <c r="D229"/>
    </row>
    <row r="230" spans="1:4" ht="18" x14ac:dyDescent="0.3">
      <c r="A230" s="27"/>
      <c r="B230"/>
      <c r="C230"/>
      <c r="D230"/>
    </row>
    <row r="231" spans="1:4" x14ac:dyDescent="0.3">
      <c r="B231"/>
      <c r="C231"/>
      <c r="D231"/>
    </row>
    <row r="232" spans="1:4" x14ac:dyDescent="0.3">
      <c r="A232" s="5"/>
      <c r="B232"/>
      <c r="C232"/>
      <c r="D232"/>
    </row>
    <row r="233" spans="1:4" x14ac:dyDescent="0.3">
      <c r="A233" s="18"/>
      <c r="B233"/>
      <c r="C233"/>
      <c r="D233"/>
    </row>
    <row r="234" spans="1:4" x14ac:dyDescent="0.3">
      <c r="A234" s="19"/>
      <c r="B234"/>
      <c r="C234"/>
      <c r="D234"/>
    </row>
    <row r="235" spans="1:4" x14ac:dyDescent="0.3">
      <c r="A235" s="19"/>
      <c r="B235"/>
      <c r="C235"/>
      <c r="D235"/>
    </row>
    <row r="236" spans="1:4" x14ac:dyDescent="0.3">
      <c r="A236" s="19"/>
      <c r="B236"/>
      <c r="C236"/>
      <c r="D236"/>
    </row>
    <row r="237" spans="1:4" x14ac:dyDescent="0.3">
      <c r="A237" s="19"/>
      <c r="B237"/>
      <c r="C237"/>
      <c r="D237"/>
    </row>
    <row r="238" spans="1:4" x14ac:dyDescent="0.3">
      <c r="B238"/>
      <c r="C238"/>
      <c r="D238"/>
    </row>
    <row r="239" spans="1:4" x14ac:dyDescent="0.3">
      <c r="A239" s="5"/>
      <c r="B239"/>
      <c r="C239"/>
      <c r="D239"/>
    </row>
    <row r="240" spans="1:4" x14ac:dyDescent="0.3">
      <c r="A240" s="18"/>
      <c r="B240"/>
      <c r="C240"/>
      <c r="D240"/>
    </row>
    <row r="241" spans="1:4" x14ac:dyDescent="0.3">
      <c r="A241" s="19"/>
      <c r="B241"/>
      <c r="C241"/>
      <c r="D241"/>
    </row>
    <row r="242" spans="1:4" x14ac:dyDescent="0.3">
      <c r="A242" s="19"/>
      <c r="B242"/>
      <c r="C242"/>
      <c r="D242"/>
    </row>
    <row r="243" spans="1:4" x14ac:dyDescent="0.3">
      <c r="A243" s="19"/>
      <c r="B243"/>
      <c r="C243"/>
      <c r="D243"/>
    </row>
    <row r="244" spans="1:4" x14ac:dyDescent="0.3">
      <c r="A244" s="19"/>
      <c r="B244"/>
      <c r="C244"/>
      <c r="D244"/>
    </row>
    <row r="245" spans="1:4" x14ac:dyDescent="0.3">
      <c r="B245"/>
      <c r="C245"/>
      <c r="D245"/>
    </row>
    <row r="246" spans="1:4" x14ac:dyDescent="0.3">
      <c r="A246" s="5"/>
      <c r="B246"/>
      <c r="C246"/>
      <c r="D246"/>
    </row>
    <row r="247" spans="1:4" x14ac:dyDescent="0.3">
      <c r="A247" s="18"/>
      <c r="B247"/>
      <c r="C247"/>
      <c r="D247"/>
    </row>
    <row r="248" spans="1:4" x14ac:dyDescent="0.3">
      <c r="A248" s="18"/>
      <c r="B248"/>
      <c r="C248"/>
      <c r="D248"/>
    </row>
    <row r="249" spans="1:4" x14ac:dyDescent="0.3">
      <c r="A249" s="18"/>
      <c r="B249"/>
      <c r="C249"/>
      <c r="D249"/>
    </row>
    <row r="250" spans="1:4" x14ac:dyDescent="0.3">
      <c r="A250" s="18"/>
      <c r="B250"/>
      <c r="C250"/>
      <c r="D250"/>
    </row>
    <row r="251" spans="1:4" x14ac:dyDescent="0.3">
      <c r="B251"/>
      <c r="C251"/>
      <c r="D251"/>
    </row>
    <row r="252" spans="1:4" ht="18" x14ac:dyDescent="0.3">
      <c r="A252" s="27"/>
      <c r="B252"/>
      <c r="C252"/>
      <c r="D252"/>
    </row>
    <row r="253" spans="1:4" x14ac:dyDescent="0.3">
      <c r="B253"/>
      <c r="C253"/>
      <c r="D253"/>
    </row>
    <row r="254" spans="1:4" x14ac:dyDescent="0.3">
      <c r="A254" s="5"/>
      <c r="B254"/>
      <c r="C254"/>
      <c r="D254"/>
    </row>
    <row r="255" spans="1:4" x14ac:dyDescent="0.3">
      <c r="A255" s="18"/>
      <c r="B255"/>
      <c r="C255"/>
      <c r="D255"/>
    </row>
    <row r="256" spans="1:4" x14ac:dyDescent="0.3">
      <c r="A256" s="18"/>
      <c r="B256"/>
      <c r="C256"/>
      <c r="D256"/>
    </row>
    <row r="257" spans="1:4" x14ac:dyDescent="0.3">
      <c r="A257" s="18"/>
      <c r="B257"/>
      <c r="C257"/>
      <c r="D257"/>
    </row>
    <row r="258" spans="1:4" x14ac:dyDescent="0.3">
      <c r="B258"/>
      <c r="C258"/>
      <c r="D258"/>
    </row>
    <row r="259" spans="1:4" x14ac:dyDescent="0.3">
      <c r="A259" s="5"/>
      <c r="B259"/>
      <c r="C259"/>
      <c r="D259"/>
    </row>
    <row r="260" spans="1:4" x14ac:dyDescent="0.3">
      <c r="A260" s="18"/>
      <c r="B260"/>
      <c r="C260"/>
      <c r="D260"/>
    </row>
    <row r="261" spans="1:4" x14ac:dyDescent="0.3">
      <c r="A261" s="18"/>
      <c r="B261"/>
      <c r="C261"/>
      <c r="D261"/>
    </row>
    <row r="262" spans="1:4" x14ac:dyDescent="0.3">
      <c r="A262" s="18"/>
      <c r="B262"/>
      <c r="C262"/>
      <c r="D262"/>
    </row>
    <row r="263" spans="1:4" x14ac:dyDescent="0.3">
      <c r="B263"/>
      <c r="C263"/>
      <c r="D263"/>
    </row>
    <row r="264" spans="1:4" x14ac:dyDescent="0.3">
      <c r="A264" s="5"/>
      <c r="B264"/>
      <c r="C264"/>
      <c r="D264"/>
    </row>
    <row r="265" spans="1:4" x14ac:dyDescent="0.3">
      <c r="A265" s="18"/>
      <c r="B265"/>
      <c r="C265"/>
      <c r="D265"/>
    </row>
    <row r="266" spans="1:4" x14ac:dyDescent="0.3">
      <c r="A266" s="18"/>
      <c r="B266"/>
      <c r="C266"/>
      <c r="D266"/>
    </row>
    <row r="267" spans="1:4" x14ac:dyDescent="0.3">
      <c r="A267" s="18"/>
      <c r="B267"/>
      <c r="C267"/>
      <c r="D267"/>
    </row>
    <row r="268" spans="1:4" x14ac:dyDescent="0.3">
      <c r="B268"/>
      <c r="C268"/>
      <c r="D268"/>
    </row>
    <row r="269" spans="1:4" x14ac:dyDescent="0.3">
      <c r="A269" s="5"/>
      <c r="B269"/>
      <c r="C269"/>
      <c r="D269"/>
    </row>
    <row r="270" spans="1:4" x14ac:dyDescent="0.3">
      <c r="A270" s="18"/>
      <c r="B270"/>
      <c r="C270"/>
      <c r="D270"/>
    </row>
    <row r="271" spans="1:4" x14ac:dyDescent="0.3">
      <c r="A271" s="18"/>
      <c r="B271"/>
      <c r="C271"/>
      <c r="D271"/>
    </row>
    <row r="272" spans="1:4" x14ac:dyDescent="0.3">
      <c r="A272" s="18"/>
      <c r="B272"/>
      <c r="C272"/>
      <c r="D272"/>
    </row>
    <row r="273" spans="1:4" x14ac:dyDescent="0.3">
      <c r="B273"/>
      <c r="C273"/>
      <c r="D273"/>
    </row>
    <row r="274" spans="1:4" x14ac:dyDescent="0.3">
      <c r="A274" s="5"/>
      <c r="B274"/>
      <c r="C274"/>
      <c r="D274"/>
    </row>
    <row r="275" spans="1:4" x14ac:dyDescent="0.3">
      <c r="A275" s="18"/>
      <c r="B275"/>
      <c r="C275"/>
      <c r="D275"/>
    </row>
    <row r="276" spans="1:4" x14ac:dyDescent="0.3">
      <c r="A276" s="18"/>
      <c r="B276"/>
      <c r="C276"/>
      <c r="D276"/>
    </row>
    <row r="277" spans="1:4" x14ac:dyDescent="0.3">
      <c r="A277" s="18"/>
      <c r="B277"/>
      <c r="C277"/>
      <c r="D277"/>
    </row>
    <row r="278" spans="1:4" x14ac:dyDescent="0.3">
      <c r="B278"/>
      <c r="C278"/>
      <c r="D278"/>
    </row>
    <row r="279" spans="1:4" x14ac:dyDescent="0.3">
      <c r="A279" s="5"/>
      <c r="B279"/>
      <c r="C279"/>
      <c r="D279"/>
    </row>
    <row r="280" spans="1:4" x14ac:dyDescent="0.3">
      <c r="A280" s="18"/>
      <c r="B280"/>
      <c r="C280"/>
      <c r="D280"/>
    </row>
    <row r="281" spans="1:4" x14ac:dyDescent="0.3">
      <c r="A281" s="18"/>
      <c r="B281"/>
      <c r="C281"/>
      <c r="D281"/>
    </row>
    <row r="282" spans="1:4" x14ac:dyDescent="0.3">
      <c r="A282" s="18"/>
      <c r="B282"/>
      <c r="C282"/>
      <c r="D282"/>
    </row>
    <row r="283" spans="1:4" x14ac:dyDescent="0.3">
      <c r="B283"/>
      <c r="C283"/>
      <c r="D283"/>
    </row>
    <row r="284" spans="1:4" x14ac:dyDescent="0.3">
      <c r="A284" s="5"/>
      <c r="B284"/>
      <c r="C284"/>
      <c r="D284"/>
    </row>
    <row r="285" spans="1:4" x14ac:dyDescent="0.3">
      <c r="A285" s="18"/>
      <c r="B285"/>
      <c r="C285"/>
      <c r="D285"/>
    </row>
    <row r="286" spans="1:4" x14ac:dyDescent="0.3">
      <c r="A286" s="18"/>
      <c r="B286"/>
      <c r="C286"/>
      <c r="D286"/>
    </row>
    <row r="287" spans="1:4" x14ac:dyDescent="0.3">
      <c r="A287" s="18"/>
      <c r="B287"/>
      <c r="C287"/>
      <c r="D287"/>
    </row>
    <row r="288" spans="1:4" x14ac:dyDescent="0.3">
      <c r="B288"/>
      <c r="C288"/>
      <c r="D288"/>
    </row>
    <row r="289" spans="1:4" x14ac:dyDescent="0.3">
      <c r="A289" s="5"/>
      <c r="B289"/>
      <c r="C289"/>
      <c r="D289"/>
    </row>
    <row r="290" spans="1:4" x14ac:dyDescent="0.3">
      <c r="A290" s="18"/>
      <c r="B290"/>
      <c r="C290"/>
      <c r="D290"/>
    </row>
    <row r="291" spans="1:4" x14ac:dyDescent="0.3">
      <c r="A291" s="19"/>
      <c r="B291"/>
      <c r="C291"/>
      <c r="D291"/>
    </row>
    <row r="292" spans="1:4" x14ac:dyDescent="0.3">
      <c r="A292" s="19"/>
      <c r="B292"/>
      <c r="C292"/>
      <c r="D292"/>
    </row>
    <row r="293" spans="1:4" x14ac:dyDescent="0.3">
      <c r="A293" s="19"/>
      <c r="B293"/>
      <c r="C293"/>
      <c r="D293"/>
    </row>
    <row r="294" spans="1:4" x14ac:dyDescent="0.3">
      <c r="B294"/>
      <c r="C294"/>
      <c r="D294"/>
    </row>
    <row r="295" spans="1:4" ht="23.4" x14ac:dyDescent="0.3">
      <c r="A295" s="17"/>
      <c r="B295"/>
      <c r="C295"/>
      <c r="D295"/>
    </row>
    <row r="296" spans="1:4" x14ac:dyDescent="0.3">
      <c r="B296"/>
      <c r="C296"/>
      <c r="D296"/>
    </row>
    <row r="297" spans="1:4" ht="18" x14ac:dyDescent="0.3">
      <c r="A297" s="27"/>
      <c r="B297"/>
      <c r="C297"/>
      <c r="D297"/>
    </row>
    <row r="298" spans="1:4" x14ac:dyDescent="0.3">
      <c r="A298" s="18"/>
      <c r="B298"/>
      <c r="C298"/>
      <c r="D298"/>
    </row>
    <row r="299" spans="1:4" x14ac:dyDescent="0.3">
      <c r="A299" s="19"/>
      <c r="B299"/>
      <c r="C299"/>
      <c r="D299"/>
    </row>
    <row r="300" spans="1:4" x14ac:dyDescent="0.3">
      <c r="A300" s="32"/>
      <c r="B300"/>
      <c r="C300"/>
      <c r="D300"/>
    </row>
    <row r="301" spans="1:4" x14ac:dyDescent="0.3">
      <c r="A301" s="19"/>
      <c r="B301"/>
      <c r="C301"/>
      <c r="D301"/>
    </row>
    <row r="302" spans="1:4" x14ac:dyDescent="0.3">
      <c r="A302" s="32"/>
      <c r="B302"/>
      <c r="C302"/>
      <c r="D302"/>
    </row>
    <row r="303" spans="1:4" x14ac:dyDescent="0.3">
      <c r="B303"/>
      <c r="C303"/>
      <c r="D303"/>
    </row>
    <row r="304" spans="1:4" ht="18" x14ac:dyDescent="0.3">
      <c r="A304" s="27"/>
      <c r="B304"/>
      <c r="C304"/>
      <c r="D304"/>
    </row>
    <row r="305" spans="1:4" x14ac:dyDescent="0.3">
      <c r="A305" s="18"/>
      <c r="B305"/>
      <c r="C305"/>
      <c r="D305"/>
    </row>
    <row r="306" spans="1:4" x14ac:dyDescent="0.3">
      <c r="A306" s="19"/>
      <c r="B306"/>
      <c r="C306"/>
      <c r="D306"/>
    </row>
    <row r="307" spans="1:4" x14ac:dyDescent="0.3">
      <c r="A307" s="32"/>
      <c r="B307"/>
      <c r="C307"/>
      <c r="D307"/>
    </row>
    <row r="308" spans="1:4" x14ac:dyDescent="0.3">
      <c r="A308" s="19"/>
      <c r="B308"/>
      <c r="C308"/>
      <c r="D308"/>
    </row>
    <row r="309" spans="1:4" x14ac:dyDescent="0.3">
      <c r="A309" s="32"/>
      <c r="B309"/>
      <c r="C309"/>
      <c r="D309"/>
    </row>
    <row r="310" spans="1:4" x14ac:dyDescent="0.3">
      <c r="B310"/>
      <c r="C310"/>
      <c r="D310"/>
    </row>
    <row r="311" spans="1:4" ht="18" x14ac:dyDescent="0.3">
      <c r="A311" s="27"/>
      <c r="B311"/>
      <c r="C311"/>
      <c r="D311"/>
    </row>
    <row r="312" spans="1:4" x14ac:dyDescent="0.3">
      <c r="A312" s="18"/>
      <c r="B312"/>
      <c r="C312"/>
      <c r="D312"/>
    </row>
    <row r="313" spans="1:4" x14ac:dyDescent="0.3">
      <c r="A313" s="19"/>
      <c r="B313"/>
      <c r="C313"/>
      <c r="D313"/>
    </row>
    <row r="314" spans="1:4" x14ac:dyDescent="0.3">
      <c r="A314" s="32"/>
      <c r="B314"/>
      <c r="C314"/>
      <c r="D314"/>
    </row>
    <row r="315" spans="1:4" x14ac:dyDescent="0.3">
      <c r="A315" s="19"/>
      <c r="B315"/>
      <c r="C315"/>
      <c r="D315"/>
    </row>
    <row r="316" spans="1:4" x14ac:dyDescent="0.3">
      <c r="A316" s="32"/>
      <c r="B316"/>
      <c r="C316"/>
      <c r="D316"/>
    </row>
    <row r="317" spans="1:4" x14ac:dyDescent="0.3">
      <c r="B317"/>
      <c r="C317"/>
      <c r="D317"/>
    </row>
    <row r="318" spans="1:4" ht="18" x14ac:dyDescent="0.3">
      <c r="A318" s="27"/>
      <c r="B318"/>
      <c r="C318"/>
      <c r="D318"/>
    </row>
    <row r="319" spans="1:4" x14ac:dyDescent="0.3">
      <c r="A319" s="18"/>
      <c r="B319"/>
      <c r="C319"/>
      <c r="D319"/>
    </row>
    <row r="320" spans="1:4" x14ac:dyDescent="0.3">
      <c r="A320" s="19"/>
      <c r="B320"/>
      <c r="C320"/>
      <c r="D320"/>
    </row>
    <row r="321" spans="1:4" x14ac:dyDescent="0.3">
      <c r="A321" s="32"/>
      <c r="B321"/>
      <c r="C321"/>
      <c r="D321"/>
    </row>
    <row r="322" spans="1:4" x14ac:dyDescent="0.3">
      <c r="A322" s="19"/>
      <c r="B322"/>
      <c r="C322"/>
      <c r="D322"/>
    </row>
    <row r="323" spans="1:4" x14ac:dyDescent="0.3">
      <c r="A323" s="32"/>
      <c r="B323"/>
      <c r="C323"/>
      <c r="D323"/>
    </row>
    <row r="324" spans="1:4" x14ac:dyDescent="0.3">
      <c r="B324"/>
      <c r="C324"/>
      <c r="D324"/>
    </row>
    <row r="325" spans="1:4" ht="18" x14ac:dyDescent="0.3">
      <c r="A325" s="27"/>
      <c r="B325"/>
      <c r="C325"/>
      <c r="D325"/>
    </row>
    <row r="326" spans="1:4" x14ac:dyDescent="0.3">
      <c r="A326" s="18"/>
      <c r="B326"/>
      <c r="C326"/>
      <c r="D326"/>
    </row>
    <row r="327" spans="1:4" x14ac:dyDescent="0.3">
      <c r="A327" s="19"/>
      <c r="B327"/>
      <c r="C327"/>
      <c r="D327"/>
    </row>
    <row r="328" spans="1:4" x14ac:dyDescent="0.3">
      <c r="A328" s="32"/>
      <c r="B328"/>
      <c r="C328"/>
      <c r="D328"/>
    </row>
    <row r="329" spans="1:4" x14ac:dyDescent="0.3">
      <c r="A329" s="19"/>
      <c r="B329"/>
      <c r="C329"/>
      <c r="D329"/>
    </row>
    <row r="330" spans="1:4" x14ac:dyDescent="0.3">
      <c r="A330" s="32"/>
      <c r="B330"/>
      <c r="C330"/>
      <c r="D330"/>
    </row>
    <row r="331" spans="1:4" x14ac:dyDescent="0.3">
      <c r="B331"/>
      <c r="C331"/>
      <c r="D331"/>
    </row>
    <row r="332" spans="1:4" ht="18" x14ac:dyDescent="0.3">
      <c r="A332" s="27"/>
      <c r="B332"/>
      <c r="C332"/>
      <c r="D332"/>
    </row>
    <row r="333" spans="1:4" x14ac:dyDescent="0.3">
      <c r="A333" s="18"/>
      <c r="B333"/>
      <c r="C333"/>
      <c r="D333"/>
    </row>
    <row r="334" spans="1:4" x14ac:dyDescent="0.3">
      <c r="A334" s="19"/>
      <c r="B334"/>
      <c r="C334"/>
      <c r="D334"/>
    </row>
    <row r="335" spans="1:4" x14ac:dyDescent="0.3">
      <c r="A335" s="32"/>
      <c r="B335"/>
      <c r="C335"/>
      <c r="D335"/>
    </row>
    <row r="336" spans="1:4" x14ac:dyDescent="0.3">
      <c r="A336" s="19"/>
      <c r="B336"/>
      <c r="C336"/>
      <c r="D336"/>
    </row>
    <row r="337" spans="1:4" x14ac:dyDescent="0.3">
      <c r="A337" s="32"/>
      <c r="B337"/>
      <c r="C337"/>
      <c r="D337"/>
    </row>
    <row r="338" spans="1:4" x14ac:dyDescent="0.3">
      <c r="B338"/>
      <c r="C338"/>
      <c r="D338"/>
    </row>
    <row r="339" spans="1:4" ht="18" x14ac:dyDescent="0.3">
      <c r="A339" s="27"/>
      <c r="B339"/>
      <c r="C339"/>
      <c r="D339"/>
    </row>
    <row r="340" spans="1:4" x14ac:dyDescent="0.3">
      <c r="A340" s="18"/>
      <c r="B340"/>
      <c r="C340"/>
      <c r="D340"/>
    </row>
    <row r="341" spans="1:4" x14ac:dyDescent="0.3">
      <c r="A341" s="19"/>
      <c r="B341"/>
      <c r="C341"/>
      <c r="D341"/>
    </row>
    <row r="342" spans="1:4" x14ac:dyDescent="0.3">
      <c r="A342" s="32"/>
      <c r="B342"/>
      <c r="C342"/>
      <c r="D342"/>
    </row>
    <row r="343" spans="1:4" x14ac:dyDescent="0.3">
      <c r="A343" s="19"/>
      <c r="B343"/>
      <c r="C343"/>
      <c r="D343"/>
    </row>
    <row r="344" spans="1:4" x14ac:dyDescent="0.3">
      <c r="A344" s="32"/>
      <c r="B344"/>
      <c r="C344"/>
      <c r="D344"/>
    </row>
    <row r="345" spans="1:4" x14ac:dyDescent="0.3">
      <c r="B345"/>
      <c r="C345"/>
      <c r="D345"/>
    </row>
    <row r="346" spans="1:4" ht="23.4" x14ac:dyDescent="0.3">
      <c r="A346" s="17"/>
      <c r="B346"/>
      <c r="C346"/>
      <c r="D346"/>
    </row>
    <row r="347" spans="1:4" x14ac:dyDescent="0.3">
      <c r="B347"/>
      <c r="C347"/>
      <c r="D347"/>
    </row>
    <row r="348" spans="1:4" ht="18" x14ac:dyDescent="0.3">
      <c r="A348" s="27"/>
      <c r="B348"/>
      <c r="C348"/>
      <c r="D348"/>
    </row>
    <row r="349" spans="1:4" x14ac:dyDescent="0.3">
      <c r="B349"/>
      <c r="C349"/>
      <c r="D349"/>
    </row>
    <row r="350" spans="1:4" x14ac:dyDescent="0.3">
      <c r="A350" s="5"/>
      <c r="B350"/>
      <c r="C350"/>
      <c r="D350"/>
    </row>
    <row r="351" spans="1:4" x14ac:dyDescent="0.3">
      <c r="A351" s="18"/>
      <c r="B351"/>
      <c r="C351"/>
      <c r="D351"/>
    </row>
    <row r="352" spans="1:4" x14ac:dyDescent="0.3">
      <c r="A352" s="18"/>
      <c r="B352"/>
      <c r="C352"/>
      <c r="D352"/>
    </row>
    <row r="353" spans="1:4" x14ac:dyDescent="0.3">
      <c r="A353" s="18"/>
      <c r="B353"/>
      <c r="C353"/>
      <c r="D353"/>
    </row>
    <row r="354" spans="1:4" x14ac:dyDescent="0.3">
      <c r="A354" s="18"/>
      <c r="B354"/>
      <c r="C354"/>
      <c r="D354"/>
    </row>
    <row r="355" spans="1:4" x14ac:dyDescent="0.3">
      <c r="A355" s="18"/>
      <c r="B355"/>
      <c r="C355"/>
      <c r="D355"/>
    </row>
    <row r="356" spans="1:4" x14ac:dyDescent="0.3">
      <c r="B356"/>
      <c r="C356"/>
      <c r="D356"/>
    </row>
    <row r="357" spans="1:4" x14ac:dyDescent="0.3">
      <c r="A357" s="5"/>
      <c r="B357"/>
      <c r="C357"/>
      <c r="D357"/>
    </row>
    <row r="358" spans="1:4" x14ac:dyDescent="0.3">
      <c r="A358" s="18"/>
      <c r="B358"/>
      <c r="C358"/>
      <c r="D358"/>
    </row>
    <row r="359" spans="1:4" x14ac:dyDescent="0.3">
      <c r="A359" s="18"/>
      <c r="B359"/>
      <c r="C359"/>
      <c r="D359"/>
    </row>
    <row r="360" spans="1:4" x14ac:dyDescent="0.3">
      <c r="A360" s="18"/>
      <c r="B360"/>
      <c r="C360"/>
      <c r="D360"/>
    </row>
    <row r="361" spans="1:4" x14ac:dyDescent="0.3">
      <c r="A361" s="18"/>
      <c r="B361"/>
      <c r="C361"/>
      <c r="D361"/>
    </row>
    <row r="362" spans="1:4" x14ac:dyDescent="0.3">
      <c r="B362"/>
      <c r="C362"/>
      <c r="D362"/>
    </row>
    <row r="363" spans="1:4" ht="18" x14ac:dyDescent="0.3">
      <c r="A363" s="27"/>
      <c r="B363"/>
      <c r="C363"/>
      <c r="D363"/>
    </row>
    <row r="364" spans="1:4" x14ac:dyDescent="0.3">
      <c r="B364"/>
      <c r="C364"/>
      <c r="D364"/>
    </row>
    <row r="365" spans="1:4" x14ac:dyDescent="0.3">
      <c r="A365" s="5"/>
      <c r="B365"/>
      <c r="C365"/>
      <c r="D365"/>
    </row>
    <row r="366" spans="1:4" x14ac:dyDescent="0.3">
      <c r="A366" s="18"/>
      <c r="B366"/>
      <c r="C366"/>
      <c r="D366"/>
    </row>
    <row r="367" spans="1:4" x14ac:dyDescent="0.3">
      <c r="A367" s="18"/>
      <c r="B367"/>
      <c r="C367"/>
      <c r="D367"/>
    </row>
    <row r="368" spans="1:4" x14ac:dyDescent="0.3">
      <c r="A368" s="18"/>
      <c r="B368"/>
      <c r="C368"/>
      <c r="D368"/>
    </row>
    <row r="369" spans="1:4" x14ac:dyDescent="0.3">
      <c r="A369" s="18"/>
      <c r="B369"/>
      <c r="C369"/>
      <c r="D369"/>
    </row>
    <row r="370" spans="1:4" x14ac:dyDescent="0.3">
      <c r="A370" s="18"/>
      <c r="B370"/>
      <c r="C370"/>
      <c r="D370"/>
    </row>
    <row r="371" spans="1:4" x14ac:dyDescent="0.3">
      <c r="B371"/>
      <c r="C371"/>
      <c r="D371"/>
    </row>
    <row r="372" spans="1:4" x14ac:dyDescent="0.3">
      <c r="A372" s="5"/>
      <c r="B372"/>
      <c r="C372"/>
      <c r="D372"/>
    </row>
    <row r="373" spans="1:4" x14ac:dyDescent="0.3">
      <c r="A373" s="18"/>
      <c r="B373"/>
      <c r="C373"/>
      <c r="D373"/>
    </row>
    <row r="374" spans="1:4" x14ac:dyDescent="0.3">
      <c r="A374" s="18"/>
      <c r="B374"/>
      <c r="C374"/>
      <c r="D374"/>
    </row>
    <row r="375" spans="1:4" x14ac:dyDescent="0.3">
      <c r="A375" s="18"/>
      <c r="B375"/>
      <c r="C375"/>
      <c r="D375"/>
    </row>
    <row r="376" spans="1:4" x14ac:dyDescent="0.3">
      <c r="A376" s="18"/>
      <c r="B376"/>
      <c r="C376"/>
      <c r="D376"/>
    </row>
    <row r="377" spans="1:4" x14ac:dyDescent="0.3">
      <c r="B377"/>
      <c r="C377"/>
      <c r="D377"/>
    </row>
    <row r="378" spans="1:4" x14ac:dyDescent="0.3">
      <c r="A378" s="5"/>
      <c r="B378"/>
      <c r="C378"/>
      <c r="D378"/>
    </row>
    <row r="379" spans="1:4" x14ac:dyDescent="0.3">
      <c r="A379" s="18"/>
      <c r="B379"/>
      <c r="C379"/>
      <c r="D379"/>
    </row>
    <row r="380" spans="1:4" x14ac:dyDescent="0.3">
      <c r="A380" s="18"/>
      <c r="B380"/>
      <c r="C380"/>
      <c r="D380"/>
    </row>
    <row r="381" spans="1:4" x14ac:dyDescent="0.3">
      <c r="A381" s="18"/>
      <c r="B381"/>
      <c r="C381"/>
      <c r="D381"/>
    </row>
    <row r="382" spans="1:4" x14ac:dyDescent="0.3">
      <c r="A382" s="18"/>
      <c r="B382"/>
      <c r="C382"/>
      <c r="D382"/>
    </row>
    <row r="383" spans="1:4" x14ac:dyDescent="0.3">
      <c r="B383"/>
      <c r="C383"/>
      <c r="D383"/>
    </row>
    <row r="384" spans="1:4" ht="23.4" x14ac:dyDescent="0.3">
      <c r="A384" s="17"/>
      <c r="B384"/>
      <c r="C384"/>
      <c r="D384"/>
    </row>
    <row r="385" spans="1:4" x14ac:dyDescent="0.3">
      <c r="B385"/>
      <c r="C385"/>
      <c r="D385"/>
    </row>
    <row r="386" spans="1:4" ht="18" x14ac:dyDescent="0.3">
      <c r="A386" s="27"/>
      <c r="B386"/>
      <c r="C386"/>
      <c r="D386"/>
    </row>
    <row r="387" spans="1:4" x14ac:dyDescent="0.3">
      <c r="B387"/>
      <c r="C387"/>
      <c r="D387"/>
    </row>
    <row r="388" spans="1:4" x14ac:dyDescent="0.3">
      <c r="A388" s="28"/>
      <c r="B388" s="28" t="s">
        <v>52</v>
      </c>
      <c r="C388" s="28" t="s">
        <v>53</v>
      </c>
      <c r="D388" s="28" t="s">
        <v>54</v>
      </c>
    </row>
    <row r="389" spans="1:4" ht="28.8" x14ac:dyDescent="0.3">
      <c r="A389" s="33"/>
      <c r="B389" s="34">
        <v>0.62719999999999998</v>
      </c>
      <c r="C389" s="34">
        <v>0.76259999999999994</v>
      </c>
      <c r="D389" s="9" t="s">
        <v>55</v>
      </c>
    </row>
    <row r="390" spans="1:4" ht="28.8" x14ac:dyDescent="0.3">
      <c r="A390" s="33"/>
      <c r="B390" s="34">
        <v>0.37280000000000002</v>
      </c>
      <c r="C390" s="34">
        <v>0.2374</v>
      </c>
      <c r="D390" s="9" t="s">
        <v>56</v>
      </c>
    </row>
    <row r="391" spans="1:4" x14ac:dyDescent="0.3">
      <c r="A391" s="33"/>
      <c r="B391" s="35">
        <v>0.49</v>
      </c>
      <c r="C391" s="35">
        <v>-0.22</v>
      </c>
      <c r="D391" s="33" t="s">
        <v>57</v>
      </c>
    </row>
    <row r="392" spans="1:4" ht="28.8" x14ac:dyDescent="0.3">
      <c r="A392" s="33"/>
      <c r="B392" s="34">
        <v>0.30299999999999999</v>
      </c>
      <c r="C392" s="34">
        <v>-0.06</v>
      </c>
      <c r="D392" s="9" t="s">
        <v>58</v>
      </c>
    </row>
    <row r="393" spans="1:4" ht="28.8" x14ac:dyDescent="0.3">
      <c r="A393" s="33"/>
      <c r="B393" s="9" t="s">
        <v>59</v>
      </c>
      <c r="C393" s="9" t="s">
        <v>50</v>
      </c>
      <c r="D393" s="9" t="s">
        <v>60</v>
      </c>
    </row>
    <row r="394" spans="1:4" ht="28.8" x14ac:dyDescent="0.3">
      <c r="A394" s="33"/>
      <c r="B394" s="9" t="s">
        <v>61</v>
      </c>
      <c r="C394" s="9" t="s">
        <v>50</v>
      </c>
      <c r="D394" s="9" t="s">
        <v>62</v>
      </c>
    </row>
    <row r="395" spans="1:4" x14ac:dyDescent="0.3">
      <c r="B395"/>
      <c r="C395"/>
      <c r="D395"/>
    </row>
    <row r="396" spans="1:4" ht="18" x14ac:dyDescent="0.3">
      <c r="A396" s="27"/>
      <c r="B396"/>
      <c r="C396"/>
      <c r="D396"/>
    </row>
    <row r="397" spans="1:4" x14ac:dyDescent="0.3">
      <c r="B397"/>
      <c r="C397"/>
      <c r="D397"/>
    </row>
    <row r="398" spans="1:4" x14ac:dyDescent="0.3">
      <c r="A398" s="28"/>
      <c r="B398" s="28" t="s">
        <v>52</v>
      </c>
      <c r="C398" s="28" t="s">
        <v>53</v>
      </c>
      <c r="D398" s="28" t="s">
        <v>54</v>
      </c>
    </row>
    <row r="399" spans="1:4" x14ac:dyDescent="0.3">
      <c r="A399" s="33"/>
      <c r="B399" s="36">
        <v>0.84375</v>
      </c>
      <c r="C399" s="36">
        <v>0.48888888888888887</v>
      </c>
      <c r="D399" s="9" t="s">
        <v>63</v>
      </c>
    </row>
    <row r="400" spans="1:4" x14ac:dyDescent="0.3">
      <c r="A400" s="33"/>
      <c r="B400" s="11">
        <v>1.0881944444444445</v>
      </c>
      <c r="C400" s="36">
        <v>0.55833333333333335</v>
      </c>
      <c r="D400" s="9" t="s">
        <v>64</v>
      </c>
    </row>
    <row r="401" spans="1:4" x14ac:dyDescent="0.3">
      <c r="A401" s="33"/>
      <c r="B401" s="34">
        <v>0.28999999999999998</v>
      </c>
      <c r="C401" s="34">
        <v>0.14199999999999999</v>
      </c>
      <c r="D401" s="9" t="s">
        <v>65</v>
      </c>
    </row>
    <row r="402" spans="1:4" ht="28.8" x14ac:dyDescent="0.3">
      <c r="A402" s="33"/>
      <c r="B402" s="36">
        <v>0.14374999999999999</v>
      </c>
      <c r="C402" s="36">
        <v>1.5972222222222221E-2</v>
      </c>
      <c r="D402" s="9" t="s">
        <v>66</v>
      </c>
    </row>
    <row r="403" spans="1:4" ht="28.8" x14ac:dyDescent="0.3">
      <c r="A403" s="33"/>
      <c r="B403" s="9" t="s">
        <v>67</v>
      </c>
      <c r="C403" s="9" t="s">
        <v>68</v>
      </c>
      <c r="D403" s="9" t="s">
        <v>69</v>
      </c>
    </row>
    <row r="404" spans="1:4" ht="28.8" x14ac:dyDescent="0.3">
      <c r="A404" s="33"/>
      <c r="B404" s="9" t="s">
        <v>70</v>
      </c>
      <c r="C404" s="9" t="s">
        <v>71</v>
      </c>
      <c r="D404" s="9" t="s">
        <v>72</v>
      </c>
    </row>
    <row r="405" spans="1:4" x14ac:dyDescent="0.3">
      <c r="B405"/>
      <c r="C405"/>
      <c r="D405"/>
    </row>
    <row r="406" spans="1:4" ht="23.4" x14ac:dyDescent="0.3">
      <c r="A406" s="17"/>
      <c r="B406"/>
      <c r="C406"/>
      <c r="D406"/>
    </row>
    <row r="407" spans="1:4" x14ac:dyDescent="0.3">
      <c r="B407"/>
      <c r="C407"/>
      <c r="D407"/>
    </row>
    <row r="408" spans="1:4" ht="18" x14ac:dyDescent="0.3">
      <c r="A408" s="27"/>
      <c r="B408"/>
      <c r="C408"/>
      <c r="D408"/>
    </row>
    <row r="409" spans="1:4" x14ac:dyDescent="0.3">
      <c r="B409"/>
      <c r="C409"/>
      <c r="D409"/>
    </row>
    <row r="410" spans="1:4" x14ac:dyDescent="0.3">
      <c r="A410" s="5"/>
      <c r="B410"/>
      <c r="C410"/>
      <c r="D410"/>
    </row>
    <row r="411" spans="1:4" x14ac:dyDescent="0.3">
      <c r="A411" s="18"/>
      <c r="B411"/>
      <c r="C411"/>
      <c r="D411"/>
    </row>
    <row r="412" spans="1:4" x14ac:dyDescent="0.3">
      <c r="A412" s="19"/>
      <c r="B412"/>
      <c r="C412"/>
      <c r="D412"/>
    </row>
    <row r="413" spans="1:4" x14ac:dyDescent="0.3">
      <c r="A413" s="18"/>
      <c r="B413"/>
      <c r="C413"/>
      <c r="D413"/>
    </row>
    <row r="414" spans="1:4" x14ac:dyDescent="0.3">
      <c r="A414" s="18"/>
      <c r="B414"/>
      <c r="C414"/>
      <c r="D414"/>
    </row>
    <row r="415" spans="1:4" x14ac:dyDescent="0.3">
      <c r="A415" s="19"/>
      <c r="B415"/>
      <c r="C415"/>
      <c r="D415"/>
    </row>
    <row r="416" spans="1:4" x14ac:dyDescent="0.3">
      <c r="B416"/>
      <c r="C416"/>
      <c r="D416"/>
    </row>
    <row r="417" spans="1:4" x14ac:dyDescent="0.3">
      <c r="A417" s="5"/>
      <c r="B417"/>
      <c r="C417"/>
      <c r="D417"/>
    </row>
    <row r="418" spans="1:4" x14ac:dyDescent="0.3">
      <c r="A418" s="18"/>
      <c r="B418"/>
      <c r="C418"/>
      <c r="D418"/>
    </row>
    <row r="419" spans="1:4" x14ac:dyDescent="0.3">
      <c r="A419" s="19"/>
      <c r="B419"/>
      <c r="C419"/>
      <c r="D419"/>
    </row>
    <row r="420" spans="1:4" x14ac:dyDescent="0.3">
      <c r="A420" s="18"/>
      <c r="B420"/>
      <c r="C420"/>
      <c r="D420"/>
    </row>
    <row r="421" spans="1:4" x14ac:dyDescent="0.3">
      <c r="A421" s="18"/>
      <c r="B421"/>
      <c r="C421"/>
      <c r="D421"/>
    </row>
    <row r="422" spans="1:4" x14ac:dyDescent="0.3">
      <c r="A422" s="19"/>
      <c r="B422"/>
      <c r="C422"/>
      <c r="D422"/>
    </row>
    <row r="423" spans="1:4" x14ac:dyDescent="0.3">
      <c r="B423"/>
      <c r="C423"/>
      <c r="D423"/>
    </row>
    <row r="424" spans="1:4" ht="18" x14ac:dyDescent="0.3">
      <c r="A424" s="27"/>
      <c r="B424"/>
      <c r="C424"/>
      <c r="D424"/>
    </row>
    <row r="425" spans="1:4" x14ac:dyDescent="0.3">
      <c r="B425"/>
      <c r="C425"/>
      <c r="D425"/>
    </row>
    <row r="426" spans="1:4" x14ac:dyDescent="0.3">
      <c r="A426" s="5"/>
      <c r="B426"/>
      <c r="C426"/>
      <c r="D426"/>
    </row>
    <row r="427" spans="1:4" x14ac:dyDescent="0.3">
      <c r="A427" s="18"/>
      <c r="B427"/>
      <c r="C427"/>
      <c r="D427"/>
    </row>
    <row r="428" spans="1:4" x14ac:dyDescent="0.3">
      <c r="A428" s="18"/>
      <c r="B428"/>
      <c r="C428"/>
      <c r="D428"/>
    </row>
    <row r="429" spans="1:4" x14ac:dyDescent="0.3">
      <c r="A429" s="18"/>
      <c r="B429"/>
      <c r="C429"/>
      <c r="D429"/>
    </row>
    <row r="430" spans="1:4" x14ac:dyDescent="0.3">
      <c r="A430" s="18"/>
      <c r="B430"/>
      <c r="C430"/>
      <c r="D430"/>
    </row>
    <row r="431" spans="1:4" x14ac:dyDescent="0.3">
      <c r="B431"/>
      <c r="C431"/>
      <c r="D431"/>
    </row>
    <row r="432" spans="1:4" x14ac:dyDescent="0.3">
      <c r="A432" s="5"/>
      <c r="B432"/>
      <c r="C432"/>
      <c r="D432"/>
    </row>
    <row r="433" spans="1:4" x14ac:dyDescent="0.3">
      <c r="A433" s="18"/>
      <c r="B433"/>
      <c r="C433"/>
      <c r="D433"/>
    </row>
    <row r="434" spans="1:4" x14ac:dyDescent="0.3">
      <c r="A434" s="18"/>
      <c r="B434"/>
      <c r="C434"/>
      <c r="D434"/>
    </row>
    <row r="435" spans="1:4" x14ac:dyDescent="0.3">
      <c r="A435" s="18"/>
      <c r="B435"/>
      <c r="C435"/>
      <c r="D435"/>
    </row>
    <row r="436" spans="1:4" x14ac:dyDescent="0.3">
      <c r="A436" s="18"/>
      <c r="B436"/>
      <c r="C436"/>
      <c r="D436"/>
    </row>
    <row r="437" spans="1:4" x14ac:dyDescent="0.3">
      <c r="A437" s="19"/>
      <c r="B437"/>
      <c r="C437"/>
      <c r="D437"/>
    </row>
    <row r="438" spans="1:4" x14ac:dyDescent="0.3">
      <c r="B438"/>
      <c r="C438"/>
      <c r="D438"/>
    </row>
    <row r="439" spans="1:4" ht="18" x14ac:dyDescent="0.3">
      <c r="A439" s="27"/>
      <c r="B439"/>
      <c r="C439"/>
      <c r="D439"/>
    </row>
    <row r="440" spans="1:4" x14ac:dyDescent="0.3">
      <c r="B440"/>
      <c r="C440"/>
      <c r="D440"/>
    </row>
    <row r="441" spans="1:4" x14ac:dyDescent="0.3">
      <c r="A441" s="5"/>
      <c r="B441"/>
      <c r="C441"/>
      <c r="D441"/>
    </row>
    <row r="442" spans="1:4" x14ac:dyDescent="0.3">
      <c r="A442" s="18"/>
      <c r="B442"/>
      <c r="C442"/>
      <c r="D442"/>
    </row>
    <row r="443" spans="1:4" x14ac:dyDescent="0.3">
      <c r="A443" s="18"/>
      <c r="B443"/>
      <c r="C443"/>
      <c r="D443"/>
    </row>
    <row r="444" spans="1:4" x14ac:dyDescent="0.3">
      <c r="A444" s="18"/>
      <c r="B444"/>
      <c r="C444"/>
      <c r="D444"/>
    </row>
    <row r="445" spans="1:4" x14ac:dyDescent="0.3">
      <c r="A445" s="19"/>
      <c r="B445"/>
      <c r="C445"/>
      <c r="D445"/>
    </row>
    <row r="446" spans="1:4" x14ac:dyDescent="0.3">
      <c r="B446"/>
      <c r="C446"/>
      <c r="D446"/>
    </row>
    <row r="447" spans="1:4" x14ac:dyDescent="0.3">
      <c r="A447" s="5"/>
      <c r="B447"/>
      <c r="C447"/>
      <c r="D447"/>
    </row>
    <row r="448" spans="1:4" x14ac:dyDescent="0.3">
      <c r="A448" s="18"/>
      <c r="B448"/>
      <c r="C448"/>
      <c r="D448"/>
    </row>
    <row r="449" spans="1:4" x14ac:dyDescent="0.3">
      <c r="A449" s="18"/>
      <c r="B449"/>
      <c r="C449"/>
      <c r="D449"/>
    </row>
    <row r="450" spans="1:4" x14ac:dyDescent="0.3">
      <c r="A450" s="18"/>
      <c r="B450"/>
      <c r="C450"/>
      <c r="D450"/>
    </row>
    <row r="451" spans="1:4" x14ac:dyDescent="0.3">
      <c r="A451" s="19"/>
      <c r="B451"/>
      <c r="C451"/>
      <c r="D451"/>
    </row>
    <row r="452" spans="1:4" x14ac:dyDescent="0.3">
      <c r="B452"/>
      <c r="C452"/>
      <c r="D452"/>
    </row>
    <row r="453" spans="1:4" ht="18" x14ac:dyDescent="0.3">
      <c r="A453" s="27"/>
      <c r="B453"/>
      <c r="C453"/>
      <c r="D453"/>
    </row>
    <row r="454" spans="1:4" x14ac:dyDescent="0.3">
      <c r="B454"/>
      <c r="C454"/>
      <c r="D454"/>
    </row>
    <row r="455" spans="1:4" x14ac:dyDescent="0.3">
      <c r="A455" s="5"/>
      <c r="B455"/>
      <c r="C455"/>
      <c r="D455"/>
    </row>
    <row r="456" spans="1:4" x14ac:dyDescent="0.3">
      <c r="A456" s="18"/>
      <c r="B456"/>
      <c r="C456"/>
      <c r="D456"/>
    </row>
    <row r="457" spans="1:4" x14ac:dyDescent="0.3">
      <c r="A457" s="18"/>
      <c r="B457"/>
      <c r="C457"/>
      <c r="D457"/>
    </row>
    <row r="458" spans="1:4" x14ac:dyDescent="0.3">
      <c r="A458" s="18"/>
      <c r="B458"/>
      <c r="C458"/>
      <c r="D458"/>
    </row>
    <row r="459" spans="1:4" x14ac:dyDescent="0.3">
      <c r="B459"/>
      <c r="C459"/>
      <c r="D459"/>
    </row>
    <row r="460" spans="1:4" x14ac:dyDescent="0.3">
      <c r="B460"/>
      <c r="C460"/>
      <c r="D460"/>
    </row>
    <row r="461" spans="1:4" x14ac:dyDescent="0.3">
      <c r="B461"/>
      <c r="C461"/>
      <c r="D461"/>
    </row>
    <row r="462" spans="1:4" ht="18" x14ac:dyDescent="0.3">
      <c r="A462" s="27"/>
      <c r="B462"/>
      <c r="C462"/>
      <c r="D462"/>
    </row>
    <row r="463" spans="1:4" x14ac:dyDescent="0.3">
      <c r="B463"/>
      <c r="C463"/>
      <c r="D463"/>
    </row>
    <row r="464" spans="1:4" x14ac:dyDescent="0.3">
      <c r="A464" s="5"/>
      <c r="B464"/>
      <c r="C464"/>
      <c r="D464"/>
    </row>
    <row r="465" spans="1:4" x14ac:dyDescent="0.3">
      <c r="A465" s="18"/>
      <c r="B465"/>
      <c r="C465"/>
      <c r="D465"/>
    </row>
    <row r="466" spans="1:4" x14ac:dyDescent="0.3">
      <c r="A466" s="18"/>
      <c r="B466"/>
      <c r="C466"/>
      <c r="D466"/>
    </row>
    <row r="467" spans="1:4" x14ac:dyDescent="0.3">
      <c r="A467" s="18"/>
      <c r="B467"/>
      <c r="C467"/>
      <c r="D467"/>
    </row>
    <row r="468" spans="1:4" x14ac:dyDescent="0.3">
      <c r="A468" s="18"/>
      <c r="B468"/>
      <c r="C468"/>
      <c r="D468"/>
    </row>
    <row r="469" spans="1:4" x14ac:dyDescent="0.3">
      <c r="B469"/>
      <c r="C469"/>
      <c r="D469"/>
    </row>
    <row r="470" spans="1:4" x14ac:dyDescent="0.3">
      <c r="A470" s="5"/>
      <c r="B470"/>
      <c r="C470"/>
      <c r="D470"/>
    </row>
    <row r="471" spans="1:4" x14ac:dyDescent="0.3">
      <c r="A471" s="18"/>
      <c r="B471"/>
      <c r="C471"/>
      <c r="D471"/>
    </row>
    <row r="472" spans="1:4" x14ac:dyDescent="0.3">
      <c r="A472" s="18"/>
      <c r="B472"/>
      <c r="C472"/>
      <c r="D472"/>
    </row>
    <row r="473" spans="1:4" x14ac:dyDescent="0.3">
      <c r="A473" s="18"/>
      <c r="B473"/>
      <c r="C473"/>
      <c r="D473"/>
    </row>
    <row r="474" spans="1:4" x14ac:dyDescent="0.3">
      <c r="A474" s="18"/>
      <c r="B474"/>
      <c r="C474"/>
      <c r="D474"/>
    </row>
    <row r="475" spans="1:4" x14ac:dyDescent="0.3">
      <c r="B475"/>
      <c r="C475"/>
      <c r="D475"/>
    </row>
    <row r="476" spans="1:4" x14ac:dyDescent="0.3">
      <c r="A476" s="5"/>
      <c r="B476"/>
      <c r="C476"/>
      <c r="D476"/>
    </row>
    <row r="477" spans="1:4" x14ac:dyDescent="0.3">
      <c r="B477"/>
      <c r="C477"/>
      <c r="D477"/>
    </row>
    <row r="478" spans="1:4" ht="23.4" x14ac:dyDescent="0.3">
      <c r="A478" s="17"/>
      <c r="B478"/>
      <c r="C478"/>
      <c r="D478"/>
    </row>
    <row r="479" spans="1:4" x14ac:dyDescent="0.3">
      <c r="B479"/>
      <c r="C479"/>
      <c r="D479"/>
    </row>
    <row r="480" spans="1:4" x14ac:dyDescent="0.3">
      <c r="A480" s="5"/>
      <c r="B480"/>
      <c r="C480"/>
      <c r="D480"/>
    </row>
    <row r="481" spans="1:4" x14ac:dyDescent="0.3">
      <c r="A481" s="18"/>
      <c r="B481"/>
      <c r="C481"/>
      <c r="D481"/>
    </row>
    <row r="482" spans="1:4" x14ac:dyDescent="0.3">
      <c r="A482" s="19"/>
      <c r="B482"/>
      <c r="C482"/>
      <c r="D482"/>
    </row>
    <row r="483" spans="1:4" x14ac:dyDescent="0.3">
      <c r="A483" s="19"/>
      <c r="B483"/>
      <c r="C483"/>
      <c r="D483"/>
    </row>
    <row r="484" spans="1:4" x14ac:dyDescent="0.3">
      <c r="A484" s="19"/>
      <c r="B484"/>
      <c r="C484"/>
      <c r="D484"/>
    </row>
    <row r="485" spans="1:4" x14ac:dyDescent="0.3">
      <c r="A485" s="19"/>
      <c r="B485"/>
      <c r="C485"/>
      <c r="D485"/>
    </row>
    <row r="486" spans="1:4" x14ac:dyDescent="0.3">
      <c r="B486"/>
      <c r="C486"/>
      <c r="D486"/>
    </row>
    <row r="487" spans="1:4" x14ac:dyDescent="0.3">
      <c r="A487" s="5"/>
      <c r="B487"/>
      <c r="C487"/>
      <c r="D487"/>
    </row>
    <row r="488" spans="1:4" x14ac:dyDescent="0.3">
      <c r="A488" s="18"/>
      <c r="B488"/>
      <c r="C488"/>
      <c r="D488"/>
    </row>
    <row r="489" spans="1:4" x14ac:dyDescent="0.3">
      <c r="A489" s="19"/>
      <c r="B489"/>
      <c r="C489"/>
      <c r="D489"/>
    </row>
    <row r="490" spans="1:4" x14ac:dyDescent="0.3">
      <c r="A490" s="19"/>
      <c r="B490"/>
      <c r="C490"/>
      <c r="D490"/>
    </row>
    <row r="491" spans="1:4" x14ac:dyDescent="0.3">
      <c r="A491" s="19"/>
      <c r="B491"/>
      <c r="C491"/>
      <c r="D491"/>
    </row>
    <row r="492" spans="1:4" x14ac:dyDescent="0.3">
      <c r="A492" s="19"/>
      <c r="B492"/>
      <c r="C492"/>
      <c r="D492"/>
    </row>
    <row r="493" spans="1:4" x14ac:dyDescent="0.3">
      <c r="B493"/>
      <c r="C493"/>
      <c r="D493"/>
    </row>
    <row r="494" spans="1:4" x14ac:dyDescent="0.3">
      <c r="A494" s="5"/>
      <c r="B494"/>
      <c r="C494"/>
      <c r="D494"/>
    </row>
    <row r="495" spans="1:4" x14ac:dyDescent="0.3">
      <c r="A495" s="18"/>
      <c r="B495"/>
      <c r="C495"/>
      <c r="D495"/>
    </row>
    <row r="496" spans="1:4" x14ac:dyDescent="0.3">
      <c r="A496" s="18"/>
      <c r="B496"/>
      <c r="C496"/>
      <c r="D496"/>
    </row>
    <row r="497" spans="1:4" x14ac:dyDescent="0.3">
      <c r="A497" s="18"/>
      <c r="B497"/>
      <c r="C497"/>
      <c r="D497"/>
    </row>
    <row r="498" spans="1:4" x14ac:dyDescent="0.3">
      <c r="A498" s="19"/>
      <c r="B498"/>
      <c r="C498"/>
      <c r="D498"/>
    </row>
    <row r="499" spans="1:4" x14ac:dyDescent="0.3">
      <c r="B499"/>
      <c r="C499"/>
      <c r="D499"/>
    </row>
    <row r="500" spans="1:4" x14ac:dyDescent="0.3">
      <c r="B500"/>
      <c r="C500"/>
      <c r="D500"/>
    </row>
  </sheetData>
  <pageMargins left="0.7" right="0.7" top="0.75" bottom="0.75" header="0.3" footer="0.3"/>
  <ignoredErrors>
    <ignoredError sqref="B14:B17 B20:C23 C14:C18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210F-815B-4519-933D-12A20F04C0DA}">
  <sheetPr codeName="Sheet1"/>
  <dimension ref="A1:S81"/>
  <sheetViews>
    <sheetView topLeftCell="A13" workbookViewId="0">
      <selection activeCell="C48" sqref="C48"/>
    </sheetView>
  </sheetViews>
  <sheetFormatPr defaultRowHeight="14.4" x14ac:dyDescent="0.3"/>
  <cols>
    <col min="1" max="1" width="48.33203125" style="6" customWidth="1"/>
    <col min="2" max="2" width="12.109375" style="6" bestFit="1" customWidth="1"/>
    <col min="3" max="3" width="14.109375" style="6" bestFit="1" customWidth="1"/>
    <col min="4" max="4" width="14.21875" style="3" bestFit="1" customWidth="1"/>
    <col min="5" max="5" width="14.5546875" style="6" bestFit="1" customWidth="1"/>
    <col min="6" max="6" width="18.77734375" style="6" bestFit="1" customWidth="1"/>
    <col min="7" max="7" width="20.88671875" style="42" customWidth="1"/>
    <col min="8" max="8" width="22.5546875" style="42" bestFit="1" customWidth="1"/>
    <col min="9" max="9" width="24.5546875" style="6" bestFit="1" customWidth="1"/>
    <col min="10" max="10" width="15.21875" style="6" customWidth="1"/>
    <col min="11" max="11" width="14.5546875" style="6" customWidth="1"/>
    <col min="12" max="12" width="10.88671875" customWidth="1"/>
  </cols>
  <sheetData>
    <row r="1" spans="1:19" s="47" customFormat="1" ht="57.6" x14ac:dyDescent="0.3">
      <c r="A1" s="2" t="s">
        <v>26</v>
      </c>
      <c r="B1" s="2" t="s">
        <v>10</v>
      </c>
      <c r="C1" s="2" t="s">
        <v>11</v>
      </c>
      <c r="D1" s="28" t="s">
        <v>92</v>
      </c>
      <c r="E1" s="28" t="s">
        <v>94</v>
      </c>
      <c r="F1" s="2" t="s">
        <v>12</v>
      </c>
      <c r="G1" s="2" t="s">
        <v>13</v>
      </c>
      <c r="H1" s="66" t="s">
        <v>41</v>
      </c>
      <c r="I1" s="2" t="s">
        <v>42</v>
      </c>
      <c r="J1" s="28" t="s">
        <v>93</v>
      </c>
      <c r="K1" s="28" t="s">
        <v>201</v>
      </c>
      <c r="L1" s="28" t="s">
        <v>202</v>
      </c>
    </row>
    <row r="2" spans="1:19" x14ac:dyDescent="0.3">
      <c r="A2" s="3" t="s">
        <v>105</v>
      </c>
      <c r="B2" s="3">
        <v>261326</v>
      </c>
      <c r="C2" s="3">
        <v>415255</v>
      </c>
      <c r="D2" s="38">
        <f t="shared" ref="D2:D13" si="0">C2-B2</f>
        <v>153929</v>
      </c>
      <c r="E2" s="23">
        <f t="shared" ref="E2:E13" si="1">C2/B2</f>
        <v>1.5890305595310072</v>
      </c>
      <c r="F2" s="10">
        <v>1.6979166666666667E-2</v>
      </c>
      <c r="G2" s="10">
        <v>8.86574074074074E-3</v>
      </c>
      <c r="H2" s="42">
        <f t="shared" ref="H2:H13" si="2">HOUR(F2)*3600+MINUTE(F2)*60+SECOND(F2)</f>
        <v>1467</v>
      </c>
      <c r="I2" s="42">
        <f t="shared" ref="I2:I13" si="3">HOUR(G2)*3600+MINUTE(G2)*60+SECOND(G2)</f>
        <v>766</v>
      </c>
      <c r="J2" s="42">
        <f t="shared" ref="J2:J13" si="4">H2-I2</f>
        <v>701</v>
      </c>
      <c r="K2" s="42">
        <f>B2*H2</f>
        <v>383365242</v>
      </c>
      <c r="L2" s="38">
        <f>C2*I2</f>
        <v>318085330</v>
      </c>
    </row>
    <row r="3" spans="1:19" ht="13.8" customHeight="1" x14ac:dyDescent="0.3">
      <c r="A3" s="3" t="s">
        <v>27</v>
      </c>
      <c r="B3" s="3">
        <v>216442</v>
      </c>
      <c r="C3" s="3">
        <v>399820</v>
      </c>
      <c r="D3" s="38">
        <f t="shared" si="0"/>
        <v>183378</v>
      </c>
      <c r="E3" s="23">
        <f t="shared" si="1"/>
        <v>1.8472385211742637</v>
      </c>
      <c r="F3" s="10">
        <v>1.6157407407407409E-2</v>
      </c>
      <c r="G3" s="10">
        <v>8.3217592592592596E-3</v>
      </c>
      <c r="H3" s="42">
        <f t="shared" si="2"/>
        <v>1396</v>
      </c>
      <c r="I3" s="42">
        <f t="shared" si="3"/>
        <v>719</v>
      </c>
      <c r="J3" s="42">
        <f t="shared" si="4"/>
        <v>677</v>
      </c>
      <c r="K3" s="42">
        <f t="shared" ref="K3:K13" si="5">B3*H3</f>
        <v>302153032</v>
      </c>
      <c r="L3" s="38">
        <f t="shared" ref="L3:L13" si="6">C3*I3</f>
        <v>287470580</v>
      </c>
      <c r="S3" s="17"/>
    </row>
    <row r="4" spans="1:19" x14ac:dyDescent="0.3">
      <c r="A4" s="3" t="s">
        <v>28</v>
      </c>
      <c r="B4" s="3">
        <v>93035</v>
      </c>
      <c r="C4" s="3">
        <v>241951</v>
      </c>
      <c r="D4" s="38">
        <f t="shared" si="0"/>
        <v>148916</v>
      </c>
      <c r="E4" s="23">
        <f t="shared" si="1"/>
        <v>2.6006449185790292</v>
      </c>
      <c r="F4" s="10">
        <v>1.3483796296296296E-2</v>
      </c>
      <c r="G4" s="10">
        <v>7.7083333333333335E-3</v>
      </c>
      <c r="H4" s="42">
        <f t="shared" si="2"/>
        <v>1165</v>
      </c>
      <c r="I4" s="42">
        <f t="shared" si="3"/>
        <v>666</v>
      </c>
      <c r="J4" s="42">
        <f t="shared" si="4"/>
        <v>499</v>
      </c>
      <c r="K4" s="42">
        <f t="shared" si="5"/>
        <v>108385775</v>
      </c>
      <c r="L4" s="38">
        <f t="shared" si="6"/>
        <v>161139366</v>
      </c>
    </row>
    <row r="5" spans="1:19" x14ac:dyDescent="0.3">
      <c r="A5" s="3" t="s">
        <v>29</v>
      </c>
      <c r="B5" s="3">
        <v>38405</v>
      </c>
      <c r="C5" s="3">
        <v>140003</v>
      </c>
      <c r="D5" s="38">
        <f t="shared" si="0"/>
        <v>101598</v>
      </c>
      <c r="E5" s="23">
        <f t="shared" si="1"/>
        <v>3.645436792084364</v>
      </c>
      <c r="F5" s="10">
        <v>1.2222222222222223E-2</v>
      </c>
      <c r="G5" s="10">
        <v>7.4652777777777781E-3</v>
      </c>
      <c r="H5" s="42">
        <f t="shared" si="2"/>
        <v>1056</v>
      </c>
      <c r="I5" s="42">
        <f t="shared" si="3"/>
        <v>645</v>
      </c>
      <c r="J5" s="42">
        <f t="shared" si="4"/>
        <v>411</v>
      </c>
      <c r="K5" s="42">
        <f t="shared" si="5"/>
        <v>40555680</v>
      </c>
      <c r="L5" s="38">
        <f t="shared" si="6"/>
        <v>90301935</v>
      </c>
      <c r="S5" s="5"/>
    </row>
    <row r="6" spans="1:19" x14ac:dyDescent="0.3">
      <c r="A6" s="3" t="s">
        <v>30</v>
      </c>
      <c r="B6" s="3">
        <v>24122</v>
      </c>
      <c r="C6" s="3">
        <v>114526</v>
      </c>
      <c r="D6" s="38">
        <f t="shared" si="0"/>
        <v>90404</v>
      </c>
      <c r="E6" s="23">
        <f t="shared" si="1"/>
        <v>4.7477821076196003</v>
      </c>
      <c r="F6" s="10">
        <v>1.0150462962962964E-2</v>
      </c>
      <c r="G6" s="10">
        <v>6.9907407407407409E-3</v>
      </c>
      <c r="H6" s="42">
        <f t="shared" si="2"/>
        <v>877</v>
      </c>
      <c r="I6" s="42">
        <f t="shared" si="3"/>
        <v>604</v>
      </c>
      <c r="J6" s="42">
        <f t="shared" si="4"/>
        <v>273</v>
      </c>
      <c r="K6" s="42">
        <f t="shared" si="5"/>
        <v>21154994</v>
      </c>
      <c r="L6" s="38">
        <f t="shared" si="6"/>
        <v>69173704</v>
      </c>
      <c r="S6" s="18"/>
    </row>
    <row r="7" spans="1:19" x14ac:dyDescent="0.3">
      <c r="A7" s="3" t="s">
        <v>31</v>
      </c>
      <c r="B7" s="3">
        <v>27752</v>
      </c>
      <c r="C7" s="3">
        <v>124139</v>
      </c>
      <c r="D7" s="38">
        <f t="shared" si="0"/>
        <v>96387</v>
      </c>
      <c r="E7" s="23">
        <f t="shared" si="1"/>
        <v>4.4731550879215911</v>
      </c>
      <c r="F7" s="10">
        <v>1.0173611111111111E-2</v>
      </c>
      <c r="G7" s="10">
        <v>6.9791666666666665E-3</v>
      </c>
      <c r="H7" s="42">
        <f t="shared" si="2"/>
        <v>879</v>
      </c>
      <c r="I7" s="42">
        <f t="shared" si="3"/>
        <v>603</v>
      </c>
      <c r="J7" s="42">
        <f t="shared" si="4"/>
        <v>276</v>
      </c>
      <c r="K7" s="42">
        <f t="shared" si="5"/>
        <v>24394008</v>
      </c>
      <c r="L7" s="38">
        <f t="shared" si="6"/>
        <v>74855817</v>
      </c>
      <c r="S7" s="18"/>
    </row>
    <row r="8" spans="1:19" x14ac:dyDescent="0.3">
      <c r="A8" s="3" t="s">
        <v>32</v>
      </c>
      <c r="B8" s="3">
        <v>85846</v>
      </c>
      <c r="C8" s="3">
        <v>212245</v>
      </c>
      <c r="D8" s="38">
        <f t="shared" si="0"/>
        <v>126399</v>
      </c>
      <c r="E8" s="23">
        <f t="shared" si="1"/>
        <v>2.4723924236423365</v>
      </c>
      <c r="F8" s="10">
        <v>1.443287037037037E-2</v>
      </c>
      <c r="G8" s="10">
        <v>7.8009259259259256E-3</v>
      </c>
      <c r="H8" s="42">
        <f t="shared" si="2"/>
        <v>1247</v>
      </c>
      <c r="I8" s="42">
        <f t="shared" si="3"/>
        <v>674</v>
      </c>
      <c r="J8" s="42">
        <f t="shared" si="4"/>
        <v>573</v>
      </c>
      <c r="K8" s="42">
        <f t="shared" si="5"/>
        <v>107049962</v>
      </c>
      <c r="L8" s="38">
        <f t="shared" si="6"/>
        <v>143053130</v>
      </c>
      <c r="S8" s="18"/>
    </row>
    <row r="9" spans="1:19" x14ac:dyDescent="0.3">
      <c r="A9" s="3" t="s">
        <v>33</v>
      </c>
      <c r="B9" s="3">
        <v>109224</v>
      </c>
      <c r="C9" s="3">
        <v>262129</v>
      </c>
      <c r="D9" s="38">
        <f t="shared" si="0"/>
        <v>152905</v>
      </c>
      <c r="E9" s="23">
        <f t="shared" si="1"/>
        <v>2.3999212627261408</v>
      </c>
      <c r="F9" s="10">
        <v>1.5046296296296295E-2</v>
      </c>
      <c r="G9" s="10">
        <v>7.8703703703703696E-3</v>
      </c>
      <c r="H9" s="42">
        <f t="shared" si="2"/>
        <v>1300</v>
      </c>
      <c r="I9" s="42">
        <f t="shared" si="3"/>
        <v>680</v>
      </c>
      <c r="J9" s="42">
        <f t="shared" si="4"/>
        <v>620</v>
      </c>
      <c r="K9" s="42">
        <f t="shared" si="5"/>
        <v>141991200</v>
      </c>
      <c r="L9" s="38">
        <f t="shared" si="6"/>
        <v>178247720</v>
      </c>
      <c r="S9" s="18"/>
    </row>
    <row r="10" spans="1:19" x14ac:dyDescent="0.3">
      <c r="A10" s="3" t="s">
        <v>34</v>
      </c>
      <c r="B10" s="3">
        <v>182757</v>
      </c>
      <c r="C10" s="3">
        <v>319815</v>
      </c>
      <c r="D10" s="38">
        <f t="shared" si="0"/>
        <v>137058</v>
      </c>
      <c r="E10" s="23">
        <f t="shared" si="1"/>
        <v>1.7499466504702965</v>
      </c>
      <c r="F10" s="10">
        <v>1.6805555555555556E-2</v>
      </c>
      <c r="G10" s="10">
        <v>8.4259259259259253E-3</v>
      </c>
      <c r="H10" s="42">
        <f t="shared" si="2"/>
        <v>1452</v>
      </c>
      <c r="I10" s="42">
        <f t="shared" si="3"/>
        <v>728</v>
      </c>
      <c r="J10" s="42">
        <f t="shared" si="4"/>
        <v>724</v>
      </c>
      <c r="K10" s="42">
        <f t="shared" si="5"/>
        <v>265363164</v>
      </c>
      <c r="L10" s="38">
        <f t="shared" si="6"/>
        <v>232825320</v>
      </c>
    </row>
    <row r="11" spans="1:19" x14ac:dyDescent="0.3">
      <c r="A11" s="3" t="s">
        <v>35</v>
      </c>
      <c r="B11" s="3">
        <v>291987</v>
      </c>
      <c r="C11" s="3">
        <v>386771</v>
      </c>
      <c r="D11" s="38">
        <f t="shared" si="0"/>
        <v>94784</v>
      </c>
      <c r="E11" s="23">
        <f t="shared" si="1"/>
        <v>1.3246171918612815</v>
      </c>
      <c r="F11" s="10">
        <v>1.7627314814814814E-2</v>
      </c>
      <c r="G11" s="10">
        <v>8.9930555555555562E-3</v>
      </c>
      <c r="H11" s="42">
        <f t="shared" si="2"/>
        <v>1523</v>
      </c>
      <c r="I11" s="42">
        <f t="shared" si="3"/>
        <v>777</v>
      </c>
      <c r="J11" s="42">
        <f t="shared" si="4"/>
        <v>746</v>
      </c>
      <c r="K11" s="42">
        <f t="shared" si="5"/>
        <v>444696201</v>
      </c>
      <c r="L11" s="38">
        <f t="shared" si="6"/>
        <v>300521067</v>
      </c>
      <c r="S11" s="5"/>
    </row>
    <row r="12" spans="1:19" x14ac:dyDescent="0.3">
      <c r="A12" s="3" t="s">
        <v>36</v>
      </c>
      <c r="B12" s="3">
        <v>323326</v>
      </c>
      <c r="C12" s="3">
        <v>440076</v>
      </c>
      <c r="D12" s="38">
        <f t="shared" si="0"/>
        <v>116750</v>
      </c>
      <c r="E12" s="23">
        <f t="shared" si="1"/>
        <v>1.3610906639119651</v>
      </c>
      <c r="F12" s="10">
        <v>1.6944444444444446E-2</v>
      </c>
      <c r="G12" s="10">
        <v>9.2708333333333341E-3</v>
      </c>
      <c r="H12" s="42">
        <f t="shared" si="2"/>
        <v>1464</v>
      </c>
      <c r="I12" s="42">
        <f t="shared" si="3"/>
        <v>801</v>
      </c>
      <c r="J12" s="42">
        <f t="shared" si="4"/>
        <v>663</v>
      </c>
      <c r="K12" s="42">
        <f t="shared" si="5"/>
        <v>473349264</v>
      </c>
      <c r="L12" s="38">
        <f t="shared" si="6"/>
        <v>352500876</v>
      </c>
      <c r="S12" s="18"/>
    </row>
    <row r="13" spans="1:19" x14ac:dyDescent="0.3">
      <c r="A13" s="3" t="s">
        <v>37</v>
      </c>
      <c r="B13" s="3">
        <v>337618</v>
      </c>
      <c r="C13" s="3">
        <v>452373</v>
      </c>
      <c r="D13" s="38">
        <f t="shared" si="0"/>
        <v>114755</v>
      </c>
      <c r="E13" s="23">
        <f t="shared" si="1"/>
        <v>1.3398959771102252</v>
      </c>
      <c r="F13" s="10">
        <v>1.6238425925925927E-2</v>
      </c>
      <c r="G13" s="10">
        <v>9.0856481481481483E-3</v>
      </c>
      <c r="H13" s="42">
        <f t="shared" si="2"/>
        <v>1403</v>
      </c>
      <c r="I13" s="42">
        <f t="shared" si="3"/>
        <v>785</v>
      </c>
      <c r="J13" s="42">
        <f t="shared" si="4"/>
        <v>618</v>
      </c>
      <c r="K13" s="42">
        <f t="shared" si="5"/>
        <v>473678054</v>
      </c>
      <c r="L13" s="38">
        <f t="shared" si="6"/>
        <v>355112805</v>
      </c>
      <c r="S13" s="18"/>
    </row>
    <row r="14" spans="1:19" x14ac:dyDescent="0.3">
      <c r="F14" s="24"/>
      <c r="I14" s="42"/>
      <c r="K14" s="42"/>
      <c r="L14" s="42"/>
      <c r="S14" s="18"/>
    </row>
    <row r="15" spans="1:19" x14ac:dyDescent="0.3">
      <c r="A15" s="16" t="s">
        <v>96</v>
      </c>
      <c r="G15" s="40"/>
      <c r="H15" s="40"/>
      <c r="I15" s="1"/>
      <c r="S15" s="18"/>
    </row>
    <row r="16" spans="1:19" x14ac:dyDescent="0.3">
      <c r="A16" s="16" t="s">
        <v>51</v>
      </c>
      <c r="B16" s="55" t="s">
        <v>47</v>
      </c>
      <c r="C16" s="56" t="s">
        <v>48</v>
      </c>
      <c r="D16" s="2" t="s">
        <v>95</v>
      </c>
      <c r="E16" s="16" t="s">
        <v>54</v>
      </c>
      <c r="G16" s="59"/>
      <c r="H16" s="40"/>
      <c r="I16" s="1"/>
      <c r="K16" s="24"/>
      <c r="S16" s="18"/>
    </row>
    <row r="17" spans="1:19" s="15" customFormat="1" ht="18" customHeight="1" x14ac:dyDescent="0.3">
      <c r="A17" s="43" t="s">
        <v>49</v>
      </c>
      <c r="B17" s="3">
        <f>SUM(B2:B13)</f>
        <v>1991840</v>
      </c>
      <c r="C17" s="3">
        <f>SUM(C2:C13)</f>
        <v>3509103</v>
      </c>
      <c r="D17" s="12">
        <f>C17/B17</f>
        <v>1.7617393967386938</v>
      </c>
      <c r="E17" s="67"/>
      <c r="F17" s="26"/>
      <c r="G17" s="47"/>
      <c r="H17" s="48"/>
      <c r="I17" s="3"/>
      <c r="J17" s="3"/>
      <c r="K17" s="3"/>
      <c r="S17" s="4"/>
    </row>
    <row r="18" spans="1:19" s="15" customFormat="1" ht="19.8" customHeight="1" x14ac:dyDescent="0.3">
      <c r="A18" s="43" t="s">
        <v>91</v>
      </c>
      <c r="B18" s="38">
        <f>AVERAGE(B2:B13)</f>
        <v>165986.66666666666</v>
      </c>
      <c r="C18" s="38">
        <f>AVERAGE(C2:C13)</f>
        <v>292425.25</v>
      </c>
      <c r="D18" s="3"/>
      <c r="E18" s="68"/>
      <c r="I18" s="3"/>
      <c r="J18" s="3"/>
      <c r="K18" s="3"/>
      <c r="S18" s="4"/>
    </row>
    <row r="19" spans="1:19" s="15" customFormat="1" x14ac:dyDescent="0.3">
      <c r="A19" s="43" t="s">
        <v>88</v>
      </c>
      <c r="B19" s="38">
        <f>MAX(B2:B13)</f>
        <v>337618</v>
      </c>
      <c r="C19" s="38">
        <f>MAX(C2:C13)</f>
        <v>452373</v>
      </c>
      <c r="D19" s="12">
        <f>C19/B19</f>
        <v>1.3398959771102252</v>
      </c>
      <c r="E19" s="68" t="s">
        <v>181</v>
      </c>
      <c r="I19" s="3"/>
      <c r="J19" s="3"/>
      <c r="K19" s="3"/>
    </row>
    <row r="20" spans="1:19" s="15" customFormat="1" ht="12.6" customHeight="1" x14ac:dyDescent="0.3">
      <c r="A20" s="43" t="s">
        <v>89</v>
      </c>
      <c r="B20" s="38">
        <f>MIN(B2:B13)</f>
        <v>24122</v>
      </c>
      <c r="C20" s="38">
        <f>MIN(C2:C13)</f>
        <v>114526</v>
      </c>
      <c r="D20" s="12">
        <f>C20/B20</f>
        <v>4.7477821076196003</v>
      </c>
      <c r="E20" s="68" t="s">
        <v>215</v>
      </c>
      <c r="H20" s="57"/>
      <c r="I20" s="3"/>
      <c r="J20" s="3"/>
      <c r="K20" s="3"/>
      <c r="S20" s="17"/>
    </row>
    <row r="21" spans="1:19" s="15" customFormat="1" ht="12.6" customHeight="1" x14ac:dyDescent="0.3">
      <c r="A21" s="43" t="s">
        <v>90</v>
      </c>
      <c r="B21" s="38">
        <f>B19-B20</f>
        <v>313496</v>
      </c>
      <c r="C21" s="38">
        <f>C19-C20</f>
        <v>337847</v>
      </c>
      <c r="D21" s="12"/>
      <c r="E21" s="68"/>
      <c r="H21" s="57"/>
      <c r="I21" s="3"/>
      <c r="J21" s="3"/>
      <c r="K21" s="3"/>
      <c r="S21" s="17"/>
    </row>
    <row r="22" spans="1:19" s="15" customFormat="1" ht="12.6" customHeight="1" x14ac:dyDescent="0.3">
      <c r="A22" s="43" t="s">
        <v>198</v>
      </c>
      <c r="B22" s="12">
        <f>B19/B20</f>
        <v>13.996268966089048</v>
      </c>
      <c r="C22" s="12">
        <f>C19/C20</f>
        <v>3.9499589612839006</v>
      </c>
      <c r="D22" s="12"/>
      <c r="E22" s="68" t="s">
        <v>197</v>
      </c>
      <c r="H22" s="57"/>
      <c r="I22" s="3"/>
      <c r="J22" s="3"/>
      <c r="K22" s="3"/>
      <c r="S22" s="17"/>
    </row>
    <row r="23" spans="1:19" s="15" customFormat="1" x14ac:dyDescent="0.3">
      <c r="A23" s="43" t="s">
        <v>199</v>
      </c>
      <c r="B23" s="38">
        <f>(B19-B20)/B19*100</f>
        <v>92.855238760966543</v>
      </c>
      <c r="C23" s="38">
        <f>(C19-C20)/C19*100</f>
        <v>74.683281274523466</v>
      </c>
      <c r="D23" s="3"/>
      <c r="E23" s="68" t="s">
        <v>182</v>
      </c>
      <c r="G23" s="57"/>
      <c r="I23" s="3"/>
      <c r="J23" s="3"/>
      <c r="K23" s="3"/>
    </row>
    <row r="24" spans="1:19" s="15" customFormat="1" x14ac:dyDescent="0.3">
      <c r="A24" s="43" t="s">
        <v>186</v>
      </c>
      <c r="B24" s="38">
        <f>SUM(B2:B4)</f>
        <v>570803</v>
      </c>
      <c r="C24" s="38">
        <f>SUM(C2:C4)</f>
        <v>1057026</v>
      </c>
      <c r="D24" s="12">
        <f>C24/B24</f>
        <v>1.8518227829916802</v>
      </c>
      <c r="E24" s="68" t="s">
        <v>185</v>
      </c>
      <c r="G24" s="57"/>
      <c r="I24" s="3"/>
      <c r="J24" s="3"/>
      <c r="K24" s="3"/>
    </row>
    <row r="25" spans="1:19" s="15" customFormat="1" x14ac:dyDescent="0.3">
      <c r="A25" s="43" t="s">
        <v>187</v>
      </c>
      <c r="B25" s="38">
        <f>SUM(B5:B7)</f>
        <v>90279</v>
      </c>
      <c r="C25" s="38">
        <f>SUM(C5:C7)</f>
        <v>378668</v>
      </c>
      <c r="D25" s="12">
        <f t="shared" ref="D25:D27" si="7">C25/B25</f>
        <v>4.1944195217049369</v>
      </c>
      <c r="E25" s="68" t="s">
        <v>183</v>
      </c>
      <c r="G25" s="57"/>
      <c r="I25" s="3"/>
      <c r="J25" s="3"/>
      <c r="K25" s="3"/>
    </row>
    <row r="26" spans="1:19" s="15" customFormat="1" x14ac:dyDescent="0.3">
      <c r="A26" s="43" t="s">
        <v>188</v>
      </c>
      <c r="B26" s="38">
        <f>SUM(B8:B10)</f>
        <v>377827</v>
      </c>
      <c r="C26" s="38">
        <f>SUM(C8:C10)</f>
        <v>794189</v>
      </c>
      <c r="D26" s="12">
        <f t="shared" si="7"/>
        <v>2.1019911229213371</v>
      </c>
      <c r="E26" s="68" t="s">
        <v>184</v>
      </c>
      <c r="G26" s="57"/>
      <c r="I26" s="3"/>
      <c r="J26" s="3"/>
      <c r="K26" s="3"/>
    </row>
    <row r="27" spans="1:19" s="15" customFormat="1" x14ac:dyDescent="0.3">
      <c r="A27" s="43" t="s">
        <v>189</v>
      </c>
      <c r="B27" s="38">
        <f>SUM(B11:B13)</f>
        <v>952931</v>
      </c>
      <c r="C27" s="38">
        <f>SUM(C11:C13)</f>
        <v>1279220</v>
      </c>
      <c r="D27" s="12">
        <f t="shared" si="7"/>
        <v>1.3424056935916662</v>
      </c>
      <c r="E27" s="68" t="s">
        <v>200</v>
      </c>
      <c r="G27" s="57"/>
      <c r="I27" s="3"/>
      <c r="J27" s="3"/>
      <c r="K27" s="3"/>
    </row>
    <row r="28" spans="1:19" s="15" customFormat="1" x14ac:dyDescent="0.3">
      <c r="A28" s="43" t="s">
        <v>191</v>
      </c>
      <c r="B28" s="38">
        <f>SUM(B2:B4)/B17*100</f>
        <v>28.65707084906418</v>
      </c>
      <c r="C28" s="38">
        <f>SUM(C2:C4)/C17*100</f>
        <v>30.122398801061124</v>
      </c>
      <c r="D28" s="3"/>
      <c r="E28" s="68" t="s">
        <v>194</v>
      </c>
      <c r="G28" s="57"/>
      <c r="I28" s="3"/>
      <c r="J28" s="3"/>
      <c r="K28" s="3"/>
    </row>
    <row r="29" spans="1:19" s="15" customFormat="1" x14ac:dyDescent="0.3">
      <c r="A29" s="43" t="s">
        <v>192</v>
      </c>
      <c r="B29" s="12">
        <f>SUM(B5:B7)/B17*100</f>
        <v>4.5324423648485821</v>
      </c>
      <c r="C29" s="12">
        <f>SUM(C5:C7)/C17*100</f>
        <v>10.791019813325514</v>
      </c>
      <c r="D29" s="3"/>
      <c r="E29" s="68" t="s">
        <v>195</v>
      </c>
      <c r="G29" s="57"/>
      <c r="I29" s="3"/>
      <c r="J29" s="3"/>
      <c r="K29" s="3"/>
    </row>
    <row r="30" spans="1:19" s="15" customFormat="1" x14ac:dyDescent="0.3">
      <c r="A30" s="43" t="s">
        <v>190</v>
      </c>
      <c r="B30" s="12">
        <f>SUM(B8:B10)/B17*100</f>
        <v>18.968742469274641</v>
      </c>
      <c r="C30" s="12">
        <f>SUM(C8:C10)/C17*100</f>
        <v>22.63225103395369</v>
      </c>
      <c r="D30" s="3"/>
      <c r="E30" s="68"/>
      <c r="G30" s="57"/>
      <c r="I30" s="3"/>
      <c r="J30" s="3"/>
      <c r="K30" s="3"/>
    </row>
    <row r="31" spans="1:19" s="15" customFormat="1" x14ac:dyDescent="0.3">
      <c r="A31" s="43" t="s">
        <v>193</v>
      </c>
      <c r="B31" s="12">
        <f>SUM(B11:B13)/B17*100</f>
        <v>47.841744316812594</v>
      </c>
      <c r="C31" s="12">
        <f>SUM(C11:C13)/C17*100</f>
        <v>36.454330351659671</v>
      </c>
      <c r="D31" s="3"/>
      <c r="E31" s="68" t="s">
        <v>196</v>
      </c>
      <c r="G31" s="57"/>
      <c r="I31" s="3"/>
      <c r="J31" s="3"/>
      <c r="K31" s="3"/>
    </row>
    <row r="32" spans="1:19" x14ac:dyDescent="0.3">
      <c r="A32" s="51"/>
      <c r="B32" s="23"/>
      <c r="C32" s="23"/>
      <c r="D32" s="12"/>
      <c r="E32" s="69"/>
      <c r="S32" s="5"/>
    </row>
    <row r="33" spans="1:19" x14ac:dyDescent="0.3">
      <c r="A33" s="16" t="s">
        <v>40</v>
      </c>
      <c r="E33" s="40"/>
      <c r="F33" s="39" t="s">
        <v>86</v>
      </c>
      <c r="S33" s="18"/>
    </row>
    <row r="34" spans="1:19" x14ac:dyDescent="0.3">
      <c r="A34" s="16" t="s">
        <v>51</v>
      </c>
      <c r="B34" s="16" t="s">
        <v>47</v>
      </c>
      <c r="C34" s="16" t="s">
        <v>48</v>
      </c>
      <c r="E34" s="45" t="s">
        <v>54</v>
      </c>
      <c r="F34" s="3">
        <v>86400</v>
      </c>
      <c r="H34" s="41"/>
      <c r="S34" s="19"/>
    </row>
    <row r="35" spans="1:19" x14ac:dyDescent="0.3">
      <c r="A35" s="51" t="s">
        <v>49</v>
      </c>
      <c r="B35" s="70">
        <f>SUM(F2:F13)</f>
        <v>0.17626157407407406</v>
      </c>
      <c r="C35" s="70">
        <f>SUM(G2:G13)</f>
        <v>9.7777777777777783E-2</v>
      </c>
      <c r="E35" s="45"/>
      <c r="H35" s="41"/>
      <c r="S35" s="19"/>
    </row>
    <row r="36" spans="1:19" x14ac:dyDescent="0.3">
      <c r="A36" s="43" t="s">
        <v>203</v>
      </c>
      <c r="B36" s="10">
        <f>(SUM(K2:K13)/B17)/$F$34</f>
        <v>1.618952883319499E-2</v>
      </c>
      <c r="C36" s="10">
        <f>(SUM(L2:L13)/C17)/$F$34</f>
        <v>8.4544913997278669E-3</v>
      </c>
      <c r="D36" s="10"/>
      <c r="E36" s="49" t="s">
        <v>204</v>
      </c>
      <c r="F36" s="24"/>
      <c r="S36" s="19"/>
    </row>
    <row r="37" spans="1:19" x14ac:dyDescent="0.3">
      <c r="A37" s="43" t="s">
        <v>88</v>
      </c>
      <c r="B37" s="10">
        <f>MAX(H2:H13)/86400</f>
        <v>1.7627314814814814E-2</v>
      </c>
      <c r="C37" s="10">
        <f>MAX(I2:I13)/86400</f>
        <v>9.2708333333333341E-3</v>
      </c>
      <c r="E37" s="49" t="s">
        <v>205</v>
      </c>
      <c r="F37" s="24"/>
      <c r="S37" s="18"/>
    </row>
    <row r="38" spans="1:19" x14ac:dyDescent="0.3">
      <c r="A38" s="43" t="s">
        <v>89</v>
      </c>
      <c r="B38" s="10">
        <f>MIN(H2:H13)/86400</f>
        <v>1.0150462962962964E-2</v>
      </c>
      <c r="C38" s="10">
        <f>MIN(I2:I13)/86400</f>
        <v>6.9791666666666665E-3</v>
      </c>
      <c r="E38" s="49" t="s">
        <v>206</v>
      </c>
      <c r="F38" s="24"/>
    </row>
    <row r="39" spans="1:19" x14ac:dyDescent="0.3">
      <c r="A39" s="43" t="s">
        <v>90</v>
      </c>
      <c r="B39" s="10">
        <f>B37-B38</f>
        <v>7.4768518518518508E-3</v>
      </c>
      <c r="C39" s="10">
        <f>C37-C38</f>
        <v>2.2916666666666675E-3</v>
      </c>
      <c r="E39" s="49" t="s">
        <v>211</v>
      </c>
      <c r="F39" s="24"/>
      <c r="S39" s="5"/>
    </row>
    <row r="40" spans="1:19" x14ac:dyDescent="0.3">
      <c r="A40" s="51" t="s">
        <v>207</v>
      </c>
      <c r="B40" s="24">
        <f>AVERAGE(H2:H4)/86400</f>
        <v>1.5540123456790124E-2</v>
      </c>
      <c r="C40" s="24">
        <f>AVERAGE(I2:I4)/86400</f>
        <v>8.2986111111111108E-3</v>
      </c>
      <c r="E40" s="71"/>
      <c r="F40" s="24"/>
      <c r="K40" s="24"/>
      <c r="L40" s="8"/>
      <c r="S40" s="18"/>
    </row>
    <row r="41" spans="1:19" x14ac:dyDescent="0.3">
      <c r="A41" s="51" t="s">
        <v>208</v>
      </c>
      <c r="B41" s="24">
        <f>AVERAGE(H5:H7)/86400</f>
        <v>1.0848765432098766E-2</v>
      </c>
      <c r="C41" s="24">
        <f>AVERAGE(I5:I7)/86400</f>
        <v>7.1450617283950624E-3</v>
      </c>
      <c r="E41" s="71"/>
      <c r="F41" s="24"/>
      <c r="K41" s="24"/>
      <c r="L41" s="8"/>
      <c r="S41" s="18"/>
    </row>
    <row r="42" spans="1:19" x14ac:dyDescent="0.3">
      <c r="A42" s="51" t="s">
        <v>209</v>
      </c>
      <c r="B42" s="24">
        <f>AVERAGE(H8:H10)/86400</f>
        <v>1.5428240740740741E-2</v>
      </c>
      <c r="C42" s="24">
        <f>AVERAGE(I8:I10)/86400</f>
        <v>8.0324074074074082E-3</v>
      </c>
      <c r="E42" s="71"/>
      <c r="F42" s="24"/>
      <c r="K42" s="24"/>
      <c r="L42" s="8"/>
      <c r="S42" s="18"/>
    </row>
    <row r="43" spans="1:19" x14ac:dyDescent="0.3">
      <c r="A43" s="51" t="s">
        <v>210</v>
      </c>
      <c r="B43" s="24">
        <f>AVERAGE(H11:H13)/86400</f>
        <v>1.6936728395061728E-2</v>
      </c>
      <c r="C43" s="24">
        <f>AVERAGE(I11:I13)/86400</f>
        <v>9.1165123456790117E-3</v>
      </c>
      <c r="E43" s="71"/>
      <c r="F43" s="24"/>
      <c r="K43" s="24"/>
      <c r="L43" s="8"/>
      <c r="S43" s="18"/>
    </row>
    <row r="44" spans="1:19" x14ac:dyDescent="0.3">
      <c r="A44" s="51" t="s">
        <v>97</v>
      </c>
      <c r="B44" s="23">
        <f>(B43-B41)/B41*100</f>
        <v>56.116642958748209</v>
      </c>
      <c r="C44" s="23">
        <f>(C43-C41)/C41*100</f>
        <v>27.591792656587451</v>
      </c>
      <c r="D44" s="12">
        <f>B44/C44</f>
        <v>2.033816492360113</v>
      </c>
      <c r="E44" s="71" t="s">
        <v>214</v>
      </c>
      <c r="F44" s="24"/>
      <c r="H44" s="58"/>
      <c r="K44" s="24"/>
      <c r="L44" s="8"/>
      <c r="S44" s="18"/>
    </row>
    <row r="45" spans="1:19" x14ac:dyDescent="0.3">
      <c r="A45" s="51" t="s">
        <v>98</v>
      </c>
      <c r="B45" s="24">
        <f>B43-B41</f>
        <v>6.0879629629629617E-3</v>
      </c>
      <c r="C45" s="24">
        <f>C43-C41</f>
        <v>1.9714506172839492E-3</v>
      </c>
      <c r="E45" s="71"/>
      <c r="F45" s="24"/>
      <c r="K45" s="24"/>
      <c r="L45" s="8"/>
      <c r="S45" s="19"/>
    </row>
    <row r="46" spans="1:19" x14ac:dyDescent="0.3">
      <c r="A46" s="51" t="s">
        <v>99</v>
      </c>
      <c r="B46" s="24"/>
      <c r="C46" s="24"/>
      <c r="D46" s="10">
        <f>B43-C43</f>
        <v>7.8202160493827163E-3</v>
      </c>
      <c r="E46" s="71" t="s">
        <v>212</v>
      </c>
      <c r="F46" s="24"/>
      <c r="K46" s="24"/>
      <c r="L46" s="8"/>
      <c r="S46" s="19"/>
    </row>
    <row r="47" spans="1:19" x14ac:dyDescent="0.3">
      <c r="A47" s="51" t="s">
        <v>100</v>
      </c>
      <c r="B47" s="24"/>
      <c r="C47" s="24"/>
      <c r="D47" s="10">
        <f>B41-C41</f>
        <v>3.7037037037037038E-3</v>
      </c>
      <c r="E47" s="71" t="s">
        <v>213</v>
      </c>
      <c r="F47" s="24"/>
      <c r="K47" s="24"/>
      <c r="L47" s="8"/>
      <c r="S47" s="19"/>
    </row>
    <row r="48" spans="1:19" x14ac:dyDescent="0.3">
      <c r="A48" s="53"/>
      <c r="B48" s="24"/>
      <c r="C48" s="24"/>
      <c r="E48" s="40" t="s">
        <v>216</v>
      </c>
      <c r="F48" s="24"/>
      <c r="K48" s="24"/>
      <c r="L48" s="8"/>
      <c r="S48" s="19"/>
    </row>
    <row r="49" spans="1:19" x14ac:dyDescent="0.3">
      <c r="A49" s="53"/>
      <c r="B49" s="24"/>
      <c r="C49" s="24"/>
      <c r="E49" s="40"/>
      <c r="F49" s="24"/>
      <c r="K49" s="24"/>
      <c r="L49" s="8"/>
      <c r="S49" s="19"/>
    </row>
    <row r="50" spans="1:19" x14ac:dyDescent="0.3">
      <c r="A50" s="53"/>
      <c r="B50" s="24"/>
      <c r="C50" s="24"/>
      <c r="E50" s="40"/>
      <c r="F50" s="24"/>
      <c r="K50" s="24"/>
      <c r="L50" s="8"/>
      <c r="S50" s="19"/>
    </row>
    <row r="51" spans="1:19" x14ac:dyDescent="0.3">
      <c r="E51" s="40"/>
      <c r="S51" s="5"/>
    </row>
    <row r="52" spans="1:19" x14ac:dyDescent="0.3">
      <c r="E52" s="54"/>
      <c r="S52" s="5"/>
    </row>
    <row r="53" spans="1:19" x14ac:dyDescent="0.3">
      <c r="E53" s="54"/>
      <c r="S53" s="5"/>
    </row>
    <row r="54" spans="1:19" ht="23.4" x14ac:dyDescent="0.3">
      <c r="A54" s="17"/>
      <c r="S54" s="18"/>
    </row>
    <row r="55" spans="1:19" x14ac:dyDescent="0.3">
      <c r="A55"/>
      <c r="S55" s="19"/>
    </row>
    <row r="56" spans="1:19" ht="23.4" x14ac:dyDescent="0.3">
      <c r="A56" s="17"/>
      <c r="S56" s="19"/>
    </row>
    <row r="57" spans="1:19" x14ac:dyDescent="0.3">
      <c r="A57"/>
      <c r="S57" s="18"/>
    </row>
    <row r="58" spans="1:19" x14ac:dyDescent="0.3">
      <c r="A58" s="5"/>
    </row>
    <row r="59" spans="1:19" x14ac:dyDescent="0.3">
      <c r="A59" s="18"/>
      <c r="S59" s="5"/>
    </row>
    <row r="60" spans="1:19" x14ac:dyDescent="0.3">
      <c r="A60" s="19"/>
      <c r="S60" s="18"/>
    </row>
    <row r="61" spans="1:19" x14ac:dyDescent="0.3">
      <c r="A61" s="19"/>
      <c r="S61" s="19"/>
    </row>
    <row r="62" spans="1:19" x14ac:dyDescent="0.3">
      <c r="A62" s="19"/>
      <c r="S62" s="19"/>
    </row>
    <row r="63" spans="1:19" x14ac:dyDescent="0.3">
      <c r="A63" s="19"/>
      <c r="S63" s="18"/>
    </row>
    <row r="64" spans="1:19" x14ac:dyDescent="0.3">
      <c r="A64" s="19"/>
    </row>
    <row r="65" spans="1:19" ht="23.4" x14ac:dyDescent="0.3">
      <c r="A65"/>
      <c r="S65" s="17"/>
    </row>
    <row r="66" spans="1:19" x14ac:dyDescent="0.3">
      <c r="A66" s="5"/>
    </row>
    <row r="67" spans="1:19" x14ac:dyDescent="0.3">
      <c r="A67" s="18"/>
      <c r="S67" s="5"/>
    </row>
    <row r="68" spans="1:19" x14ac:dyDescent="0.3">
      <c r="A68" s="19"/>
      <c r="S68" s="18"/>
    </row>
    <row r="69" spans="1:19" x14ac:dyDescent="0.3">
      <c r="A69" s="19"/>
      <c r="S69" s="18"/>
    </row>
    <row r="70" spans="1:19" x14ac:dyDescent="0.3">
      <c r="A70" s="19"/>
      <c r="S70" s="18"/>
    </row>
    <row r="71" spans="1:19" x14ac:dyDescent="0.3">
      <c r="A71" s="19"/>
      <c r="S71" s="18"/>
    </row>
    <row r="72" spans="1:19" x14ac:dyDescent="0.3">
      <c r="A72" s="19"/>
    </row>
    <row r="73" spans="1:19" x14ac:dyDescent="0.3">
      <c r="A73"/>
      <c r="S73" s="5"/>
    </row>
    <row r="74" spans="1:19" x14ac:dyDescent="0.3">
      <c r="A74" s="5"/>
      <c r="S74" s="18"/>
    </row>
    <row r="75" spans="1:19" x14ac:dyDescent="0.3">
      <c r="A75" s="18"/>
      <c r="S75" s="19"/>
    </row>
    <row r="76" spans="1:19" x14ac:dyDescent="0.3">
      <c r="A76" s="19"/>
      <c r="S76" s="19"/>
    </row>
    <row r="77" spans="1:19" x14ac:dyDescent="0.3">
      <c r="A77" s="19"/>
      <c r="S77" s="19"/>
    </row>
    <row r="78" spans="1:19" x14ac:dyDescent="0.3">
      <c r="A78" s="19"/>
    </row>
    <row r="79" spans="1:19" x14ac:dyDescent="0.3">
      <c r="A79" s="19"/>
      <c r="S79" s="5"/>
    </row>
    <row r="80" spans="1:19" x14ac:dyDescent="0.3">
      <c r="A80"/>
      <c r="S80" s="18"/>
    </row>
    <row r="81" spans="1:19" x14ac:dyDescent="0.3">
      <c r="A81" s="50"/>
      <c r="S81" s="18"/>
    </row>
  </sheetData>
  <pageMargins left="0.7" right="0.7" top="0.75" bottom="0.75" header="0.3" footer="0.3"/>
  <ignoredErrors>
    <ignoredError sqref="B24:C28 B29:C29 B30:C30 B31:C3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10</vt:i4>
      </vt:variant>
    </vt:vector>
  </HeadingPairs>
  <TitlesOfParts>
    <vt:vector size="15" baseType="lpstr">
      <vt:lpstr>RideType_Data</vt:lpstr>
      <vt:lpstr>Hourly_Data</vt:lpstr>
      <vt:lpstr>TimeBuckets_Data</vt:lpstr>
      <vt:lpstr>DayOfWeek_Data</vt:lpstr>
      <vt:lpstr>Monthly_Data</vt:lpstr>
      <vt:lpstr>RT_Ch1</vt:lpstr>
      <vt:lpstr>RT_Ch2</vt:lpstr>
      <vt:lpstr>Hr_Ch1</vt:lpstr>
      <vt:lpstr>Hr_Ch2</vt:lpstr>
      <vt:lpstr>TB_Ch1</vt:lpstr>
      <vt:lpstr>TB_Ch2</vt:lpstr>
      <vt:lpstr>DOW_Ch1</vt:lpstr>
      <vt:lpstr>DOW_Ch2</vt:lpstr>
      <vt:lpstr>M_Ch1</vt:lpstr>
      <vt:lpstr>M_Ch2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Butler</dc:creator>
  <cp:lastModifiedBy>Nate Butler</cp:lastModifiedBy>
  <dcterms:created xsi:type="dcterms:W3CDTF">2025-11-13T00:03:58Z</dcterms:created>
  <dcterms:modified xsi:type="dcterms:W3CDTF">2026-02-25T22:48:03Z</dcterms:modified>
</cp:coreProperties>
</file>